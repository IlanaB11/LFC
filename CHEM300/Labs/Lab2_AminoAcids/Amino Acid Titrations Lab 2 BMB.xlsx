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lana\OneDrive\Documents\LFC_Courses\BioChem\Labs\Lab2_AminoAcids\"/>
    </mc:Choice>
  </mc:AlternateContent>
  <xr:revisionPtr revIDLastSave="0" documentId="13_ncr:1_{D347A0AA-D92F-4944-A124-F0E94D19E0F4}" xr6:coauthVersionLast="47" xr6:coauthVersionMax="47" xr10:uidLastSave="{00000000-0000-0000-0000-000000000000}"/>
  <bookViews>
    <workbookView xWindow="-98" yWindow="-98" windowWidth="21795" windowHeight="12975" firstSheet="1" activeTab="5" xr2:uid="{B5F773CD-C8BB-0949-B805-5D845B9A7455}"/>
  </bookViews>
  <sheets>
    <sheet name="Measurement" sheetId="1" r:id="rId1"/>
    <sheet name="Histidine" sheetId="2" r:id="rId2"/>
    <sheet name="Histidine - Volume" sheetId="11" r:id="rId3"/>
    <sheet name="Unknown E" sheetId="8" r:id="rId4"/>
    <sheet name="Unknown E - Volume" sheetId="12" r:id="rId5"/>
    <sheet name="Unknown K" sheetId="9" r:id="rId6"/>
    <sheet name="Unknown K - Volume" sheetId="1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3" l="1"/>
  <c r="D2" i="13" s="1"/>
  <c r="F2" i="13" s="1"/>
  <c r="D3" i="13"/>
  <c r="F3" i="13"/>
  <c r="D4" i="13"/>
  <c r="F4" i="13" s="1"/>
  <c r="G4" i="13" s="1"/>
  <c r="D5" i="13"/>
  <c r="F5" i="13"/>
  <c r="G5" i="13" s="1"/>
  <c r="B6" i="13"/>
  <c r="D6" i="13"/>
  <c r="F6" i="13"/>
  <c r="G6" i="13"/>
  <c r="D7" i="13"/>
  <c r="F7" i="13" s="1"/>
  <c r="G7" i="13" s="1"/>
  <c r="D8" i="13"/>
  <c r="F8" i="13"/>
  <c r="D9" i="13"/>
  <c r="F9" i="13" s="1"/>
  <c r="G9" i="13" s="1"/>
  <c r="D10" i="13"/>
  <c r="F10" i="13" s="1"/>
  <c r="G10" i="13" s="1"/>
  <c r="D11" i="13"/>
  <c r="F11" i="13"/>
  <c r="D12" i="13"/>
  <c r="F12" i="13" s="1"/>
  <c r="G12" i="13" s="1"/>
  <c r="D13" i="13"/>
  <c r="F13" i="13" s="1"/>
  <c r="G13" i="13" s="1"/>
  <c r="D14" i="13"/>
  <c r="F14" i="13"/>
  <c r="G14" i="13"/>
  <c r="D15" i="13"/>
  <c r="F15" i="13" s="1"/>
  <c r="G15" i="13" s="1"/>
  <c r="D16" i="13"/>
  <c r="F16" i="13"/>
  <c r="G16" i="13" s="1"/>
  <c r="D17" i="13"/>
  <c r="F17" i="13" s="1"/>
  <c r="G17" i="13" s="1"/>
  <c r="D18" i="13"/>
  <c r="F18" i="13" s="1"/>
  <c r="D19" i="13"/>
  <c r="F19" i="13"/>
  <c r="G19" i="13"/>
  <c r="D20" i="13"/>
  <c r="F20" i="13" s="1"/>
  <c r="G20" i="13" s="1"/>
  <c r="D21" i="13"/>
  <c r="F21" i="13" s="1"/>
  <c r="G21" i="13" s="1"/>
  <c r="D22" i="13"/>
  <c r="F22" i="13"/>
  <c r="G22" i="13" s="1"/>
  <c r="D23" i="13"/>
  <c r="F23" i="13" s="1"/>
  <c r="D24" i="13"/>
  <c r="F24" i="13"/>
  <c r="D25" i="13"/>
  <c r="F25" i="13"/>
  <c r="G25" i="13"/>
  <c r="D26" i="13"/>
  <c r="F26" i="13"/>
  <c r="G26" i="13" s="1"/>
  <c r="D27" i="13"/>
  <c r="F27" i="13" s="1"/>
  <c r="G27" i="13" s="1"/>
  <c r="D28" i="13"/>
  <c r="F28" i="13"/>
  <c r="D29" i="13"/>
  <c r="F29" i="13" s="1"/>
  <c r="D30" i="13"/>
  <c r="F30" i="13"/>
  <c r="G30" i="13" s="1"/>
  <c r="D31" i="13"/>
  <c r="F31" i="13" s="1"/>
  <c r="G31" i="13" s="1"/>
  <c r="D32" i="13"/>
  <c r="F32" i="13"/>
  <c r="G32" i="13"/>
  <c r="D33" i="13"/>
  <c r="F33" i="13"/>
  <c r="G33" i="13" s="1"/>
  <c r="D34" i="13"/>
  <c r="F34" i="13" s="1"/>
  <c r="D35" i="13"/>
  <c r="F35" i="13"/>
  <c r="D36" i="13"/>
  <c r="F36" i="13"/>
  <c r="G36" i="13" s="1"/>
  <c r="D37" i="13"/>
  <c r="F37" i="13" s="1"/>
  <c r="G37" i="13" s="1"/>
  <c r="D38" i="13"/>
  <c r="F38" i="13"/>
  <c r="G38" i="13"/>
  <c r="D39" i="13"/>
  <c r="F39" i="13" s="1"/>
  <c r="G39" i="13" s="1"/>
  <c r="D40" i="13"/>
  <c r="F40" i="13"/>
  <c r="D41" i="13"/>
  <c r="F41" i="13" s="1"/>
  <c r="G41" i="13" s="1"/>
  <c r="D42" i="13"/>
  <c r="F42" i="13" s="1"/>
  <c r="G42" i="13" s="1"/>
  <c r="D43" i="13"/>
  <c r="F43" i="13"/>
  <c r="G43" i="13" s="1"/>
  <c r="D44" i="13"/>
  <c r="F44" i="13"/>
  <c r="G44" i="13" s="1"/>
  <c r="D45" i="13"/>
  <c r="F45" i="13" s="1"/>
  <c r="G45" i="13" s="1"/>
  <c r="D46" i="13"/>
  <c r="F46" i="13"/>
  <c r="G46" i="13"/>
  <c r="D47" i="13"/>
  <c r="F47" i="13" s="1"/>
  <c r="G47" i="13" s="1"/>
  <c r="D48" i="13"/>
  <c r="F48" i="13"/>
  <c r="G48" i="13" s="1"/>
  <c r="D49" i="13"/>
  <c r="F49" i="13" s="1"/>
  <c r="G49" i="13" s="1"/>
  <c r="D50" i="13"/>
  <c r="F50" i="13" s="1"/>
  <c r="G50" i="13" s="1"/>
  <c r="D51" i="13"/>
  <c r="F51" i="13"/>
  <c r="G51" i="13"/>
  <c r="D52" i="13"/>
  <c r="F52" i="13" s="1"/>
  <c r="G52" i="13" s="1"/>
  <c r="D53" i="13"/>
  <c r="F53" i="13" s="1"/>
  <c r="G53" i="13" s="1"/>
  <c r="D54" i="13"/>
  <c r="F54" i="13"/>
  <c r="G54" i="13" s="1"/>
  <c r="D55" i="13"/>
  <c r="F55" i="13" s="1"/>
  <c r="D56" i="13"/>
  <c r="F56" i="13"/>
  <c r="D57" i="13"/>
  <c r="F57" i="13"/>
  <c r="G57" i="13"/>
  <c r="D58" i="13"/>
  <c r="F58" i="13"/>
  <c r="G58" i="13" s="1"/>
  <c r="D59" i="13"/>
  <c r="F59" i="13" s="1"/>
  <c r="G59" i="13" s="1"/>
  <c r="D60" i="13"/>
  <c r="F60" i="13"/>
  <c r="D61" i="13"/>
  <c r="F61" i="13" s="1"/>
  <c r="D62" i="13"/>
  <c r="F62" i="13"/>
  <c r="G62" i="13" s="1"/>
  <c r="D63" i="13"/>
  <c r="F63" i="13"/>
  <c r="G63" i="13"/>
  <c r="D64" i="13"/>
  <c r="F64" i="13"/>
  <c r="G64" i="13"/>
  <c r="D65" i="13"/>
  <c r="F65" i="13"/>
  <c r="G65" i="13" s="1"/>
  <c r="D66" i="13"/>
  <c r="F66" i="13" s="1"/>
  <c r="D67" i="13"/>
  <c r="F67" i="13"/>
  <c r="D68" i="13"/>
  <c r="F68" i="13"/>
  <c r="G68" i="13" s="1"/>
  <c r="D69" i="13"/>
  <c r="F69" i="13"/>
  <c r="G69" i="13"/>
  <c r="D70" i="13"/>
  <c r="F70" i="13"/>
  <c r="G70" i="13"/>
  <c r="D71" i="13"/>
  <c r="F71" i="13" s="1"/>
  <c r="G71" i="13" s="1"/>
  <c r="D72" i="13"/>
  <c r="F72" i="13"/>
  <c r="D73" i="13"/>
  <c r="F73" i="13" s="1"/>
  <c r="G73" i="13" s="1"/>
  <c r="D74" i="13"/>
  <c r="F74" i="13" s="1"/>
  <c r="G74" i="13" s="1"/>
  <c r="D75" i="13"/>
  <c r="F75" i="13"/>
  <c r="G75" i="13"/>
  <c r="D76" i="13"/>
  <c r="F76" i="13"/>
  <c r="G76" i="13" s="1"/>
  <c r="D77" i="13"/>
  <c r="F77" i="13" s="1"/>
  <c r="G77" i="13" s="1"/>
  <c r="D78" i="13"/>
  <c r="F78" i="13"/>
  <c r="G78" i="13"/>
  <c r="D79" i="13"/>
  <c r="F79" i="13" s="1"/>
  <c r="G79" i="13" s="1"/>
  <c r="D80" i="13"/>
  <c r="F80" i="13"/>
  <c r="G80" i="13" s="1"/>
  <c r="D81" i="13"/>
  <c r="F81" i="13" s="1"/>
  <c r="G81" i="13" s="1"/>
  <c r="D82" i="13"/>
  <c r="F82" i="13" s="1"/>
  <c r="G82" i="13" s="1"/>
  <c r="D83" i="13"/>
  <c r="F83" i="13"/>
  <c r="G83" i="13"/>
  <c r="D84" i="13"/>
  <c r="F84" i="13" s="1"/>
  <c r="G84" i="13" s="1"/>
  <c r="D85" i="13"/>
  <c r="F85" i="13" s="1"/>
  <c r="G85" i="13" s="1"/>
  <c r="D86" i="13"/>
  <c r="F86" i="13"/>
  <c r="G86" i="13" s="1"/>
  <c r="D87" i="13"/>
  <c r="F87" i="13" s="1"/>
  <c r="D88" i="13"/>
  <c r="F88" i="13"/>
  <c r="D89" i="13"/>
  <c r="F89" i="13" s="1"/>
  <c r="G89" i="13" s="1"/>
  <c r="D90" i="13"/>
  <c r="F90" i="13"/>
  <c r="G90" i="13" s="1"/>
  <c r="C2" i="12"/>
  <c r="D2" i="12" s="1"/>
  <c r="F2" i="12" s="1"/>
  <c r="G2" i="12" s="1"/>
  <c r="D3" i="12"/>
  <c r="F3" i="12" s="1"/>
  <c r="D4" i="12"/>
  <c r="F4" i="12"/>
  <c r="D5" i="12"/>
  <c r="F5" i="12" s="1"/>
  <c r="G5" i="12" s="1"/>
  <c r="B6" i="12"/>
  <c r="D6" i="12"/>
  <c r="F6" i="12"/>
  <c r="G6" i="12"/>
  <c r="D7" i="12"/>
  <c r="F7" i="12" s="1"/>
  <c r="G7" i="12" s="1"/>
  <c r="D8" i="12"/>
  <c r="F8" i="12" s="1"/>
  <c r="G8" i="12" s="1"/>
  <c r="D9" i="12"/>
  <c r="F9" i="12"/>
  <c r="D10" i="12"/>
  <c r="F10" i="12"/>
  <c r="G10" i="12" s="1"/>
  <c r="D11" i="12"/>
  <c r="F11" i="12" s="1"/>
  <c r="G11" i="12" s="1"/>
  <c r="D12" i="12"/>
  <c r="F12" i="12" s="1"/>
  <c r="G12" i="12" s="1"/>
  <c r="D13" i="12"/>
  <c r="F13" i="12"/>
  <c r="G13" i="12" s="1"/>
  <c r="D14" i="12"/>
  <c r="F14" i="12" s="1"/>
  <c r="G14" i="12" s="1"/>
  <c r="D15" i="12"/>
  <c r="F15" i="12"/>
  <c r="G15" i="12" s="1"/>
  <c r="D16" i="12"/>
  <c r="F16" i="12"/>
  <c r="D17" i="12"/>
  <c r="F17" i="12"/>
  <c r="G17" i="12" s="1"/>
  <c r="D18" i="12"/>
  <c r="F18" i="12"/>
  <c r="G18" i="12" s="1"/>
  <c r="D19" i="12"/>
  <c r="F19" i="12" s="1"/>
  <c r="D20" i="12"/>
  <c r="F20" i="12"/>
  <c r="G20" i="12"/>
  <c r="D21" i="12"/>
  <c r="F21" i="12" s="1"/>
  <c r="G21" i="12" s="1"/>
  <c r="D22" i="12"/>
  <c r="F22" i="12"/>
  <c r="D23" i="12"/>
  <c r="F23" i="12"/>
  <c r="G23" i="12" s="1"/>
  <c r="D24" i="12"/>
  <c r="F24" i="12" s="1"/>
  <c r="D25" i="12"/>
  <c r="F25" i="12"/>
  <c r="D26" i="12"/>
  <c r="F26" i="12"/>
  <c r="G26" i="12"/>
  <c r="D27" i="12"/>
  <c r="F27" i="12"/>
  <c r="G27" i="12" s="1"/>
  <c r="D28" i="12"/>
  <c r="F28" i="12"/>
  <c r="D29" i="12"/>
  <c r="F29" i="12" s="1"/>
  <c r="G29" i="12" s="1"/>
  <c r="D30" i="12"/>
  <c r="F30" i="12" s="1"/>
  <c r="D31" i="12"/>
  <c r="F31" i="12"/>
  <c r="D32" i="12"/>
  <c r="F32" i="12"/>
  <c r="G32" i="12"/>
  <c r="D33" i="12"/>
  <c r="F33" i="12" s="1"/>
  <c r="G33" i="12" s="1"/>
  <c r="D34" i="12"/>
  <c r="F34" i="12" s="1"/>
  <c r="G34" i="12" s="1"/>
  <c r="D35" i="12"/>
  <c r="F35" i="12" s="1"/>
  <c r="D36" i="12"/>
  <c r="F36" i="12"/>
  <c r="D37" i="12"/>
  <c r="F37" i="12"/>
  <c r="D38" i="12"/>
  <c r="F38" i="12"/>
  <c r="G38" i="12"/>
  <c r="D39" i="12"/>
  <c r="F39" i="12" s="1"/>
  <c r="G39" i="12" s="1"/>
  <c r="D40" i="12"/>
  <c r="F40" i="12" s="1"/>
  <c r="G40" i="12" s="1"/>
  <c r="D41" i="12"/>
  <c r="F41" i="12"/>
  <c r="D42" i="12"/>
  <c r="F42" i="12"/>
  <c r="G42" i="12" s="1"/>
  <c r="D43" i="12"/>
  <c r="F43" i="12" s="1"/>
  <c r="G43" i="12" s="1"/>
  <c r="D44" i="12"/>
  <c r="F44" i="12" s="1"/>
  <c r="G44" i="12" s="1"/>
  <c r="D45" i="12"/>
  <c r="F45" i="12"/>
  <c r="G45" i="12" s="1"/>
  <c r="D46" i="12"/>
  <c r="F46" i="12" s="1"/>
  <c r="G46" i="12" s="1"/>
  <c r="D47" i="12"/>
  <c r="F47" i="12"/>
  <c r="G47" i="12" s="1"/>
  <c r="D48" i="12"/>
  <c r="F48" i="12"/>
  <c r="D49" i="12"/>
  <c r="F49" i="12"/>
  <c r="G49" i="12" s="1"/>
  <c r="D50" i="12"/>
  <c r="F50" i="12"/>
  <c r="G50" i="12" s="1"/>
  <c r="D51" i="12"/>
  <c r="F51" i="12" s="1"/>
  <c r="D52" i="12"/>
  <c r="F52" i="12"/>
  <c r="G52" i="12"/>
  <c r="D53" i="12"/>
  <c r="F53" i="12" s="1"/>
  <c r="G53" i="12" s="1"/>
  <c r="D54" i="12"/>
  <c r="F54" i="12"/>
  <c r="D55" i="12"/>
  <c r="F55" i="12"/>
  <c r="G55" i="12" s="1"/>
  <c r="D56" i="12"/>
  <c r="F56" i="12" s="1"/>
  <c r="D57" i="12"/>
  <c r="F57" i="12"/>
  <c r="D58" i="12"/>
  <c r="F58" i="12"/>
  <c r="G58" i="12"/>
  <c r="D59" i="12"/>
  <c r="F59" i="12"/>
  <c r="G59" i="12" s="1"/>
  <c r="D60" i="12"/>
  <c r="F60" i="12"/>
  <c r="D61" i="12"/>
  <c r="F61" i="12" s="1"/>
  <c r="G61" i="12" s="1"/>
  <c r="D62" i="12"/>
  <c r="F62" i="12" s="1"/>
  <c r="D63" i="12"/>
  <c r="F63" i="12"/>
  <c r="D64" i="12"/>
  <c r="F64" i="12"/>
  <c r="G64" i="12"/>
  <c r="D65" i="12"/>
  <c r="F65" i="12" s="1"/>
  <c r="G65" i="12" s="1"/>
  <c r="D66" i="12"/>
  <c r="F66" i="12" s="1"/>
  <c r="G66" i="12" s="1"/>
  <c r="D67" i="12"/>
  <c r="F67" i="12" s="1"/>
  <c r="D68" i="12"/>
  <c r="F68" i="12"/>
  <c r="D69" i="12"/>
  <c r="F69" i="12"/>
  <c r="D70" i="12"/>
  <c r="F70" i="12"/>
  <c r="G70" i="12"/>
  <c r="D71" i="12"/>
  <c r="F71" i="12" s="1"/>
  <c r="G71" i="12" s="1"/>
  <c r="D72" i="12"/>
  <c r="D96" i="12"/>
  <c r="F96" i="12" s="1"/>
  <c r="G96" i="12" s="1"/>
  <c r="D102" i="12"/>
  <c r="F102" i="12"/>
  <c r="G102" i="12" s="1"/>
  <c r="D103" i="12"/>
  <c r="F103" i="12" s="1"/>
  <c r="G103" i="12" s="1"/>
  <c r="D2" i="11"/>
  <c r="F2" i="11" s="1"/>
  <c r="D3" i="11"/>
  <c r="F3" i="11"/>
  <c r="D4" i="11"/>
  <c r="F4" i="11"/>
  <c r="G4" i="11" s="1"/>
  <c r="D5" i="11"/>
  <c r="F5" i="11"/>
  <c r="G5" i="11" s="1"/>
  <c r="B6" i="11"/>
  <c r="D6" i="11"/>
  <c r="F6" i="11"/>
  <c r="G6" i="11" s="1"/>
  <c r="D7" i="11"/>
  <c r="F7" i="11" s="1"/>
  <c r="G7" i="11" s="1"/>
  <c r="D8" i="11"/>
  <c r="F8" i="11"/>
  <c r="D9" i="11"/>
  <c r="F9" i="11"/>
  <c r="D10" i="11"/>
  <c r="F10" i="11"/>
  <c r="G10" i="11" s="1"/>
  <c r="D11" i="11"/>
  <c r="F11" i="11"/>
  <c r="G11" i="11" s="1"/>
  <c r="D12" i="11"/>
  <c r="F12" i="11"/>
  <c r="G12" i="11" s="1"/>
  <c r="D13" i="11"/>
  <c r="F13" i="11" s="1"/>
  <c r="G13" i="11" s="1"/>
  <c r="D14" i="11"/>
  <c r="F14" i="11"/>
  <c r="G14" i="11" s="1"/>
  <c r="D15" i="11"/>
  <c r="F15" i="11"/>
  <c r="D16" i="11"/>
  <c r="F16" i="11"/>
  <c r="D17" i="11"/>
  <c r="F17" i="11"/>
  <c r="D18" i="11"/>
  <c r="F18" i="11" s="1"/>
  <c r="D19" i="11"/>
  <c r="F19" i="11"/>
  <c r="G19" i="11"/>
  <c r="D20" i="11"/>
  <c r="F20" i="11"/>
  <c r="G20" i="11" s="1"/>
  <c r="D21" i="11"/>
  <c r="F21" i="11"/>
  <c r="D22" i="11"/>
  <c r="F22" i="11"/>
  <c r="D23" i="11"/>
  <c r="F23" i="11" s="1"/>
  <c r="D24" i="11"/>
  <c r="F24" i="11"/>
  <c r="D25" i="11"/>
  <c r="F25" i="11"/>
  <c r="G25" i="11"/>
  <c r="D26" i="11"/>
  <c r="F26" i="11" s="1"/>
  <c r="G26" i="11" s="1"/>
  <c r="D27" i="11"/>
  <c r="F27" i="11" s="1"/>
  <c r="G27" i="11" s="1"/>
  <c r="D28" i="11"/>
  <c r="F28" i="11"/>
  <c r="D29" i="11"/>
  <c r="F29" i="11" s="1"/>
  <c r="D30" i="11"/>
  <c r="F30" i="11"/>
  <c r="D31" i="11"/>
  <c r="F31" i="11"/>
  <c r="G31" i="11"/>
  <c r="D32" i="11"/>
  <c r="F32" i="11"/>
  <c r="G32" i="11" s="1"/>
  <c r="D33" i="11"/>
  <c r="F33" i="11" s="1"/>
  <c r="G33" i="11" s="1"/>
  <c r="D34" i="11"/>
  <c r="F34" i="11" s="1"/>
  <c r="D35" i="11"/>
  <c r="F35" i="11"/>
  <c r="D36" i="11"/>
  <c r="F36" i="11" s="1"/>
  <c r="G36" i="11" s="1"/>
  <c r="D37" i="11"/>
  <c r="F37" i="11" s="1"/>
  <c r="G37" i="11" s="1"/>
  <c r="D38" i="11"/>
  <c r="F38" i="11"/>
  <c r="G38" i="11" s="1"/>
  <c r="D39" i="11"/>
  <c r="F39" i="11" s="1"/>
  <c r="G39" i="11" s="1"/>
  <c r="D40" i="11"/>
  <c r="F40" i="11"/>
  <c r="D41" i="11"/>
  <c r="F41" i="11"/>
  <c r="D42" i="11"/>
  <c r="F42" i="11"/>
  <c r="G42" i="11" s="1"/>
  <c r="D43" i="11"/>
  <c r="F43" i="11"/>
  <c r="D44" i="11"/>
  <c r="F44" i="11"/>
  <c r="G44" i="11" s="1"/>
  <c r="D45" i="11"/>
  <c r="F45" i="11" s="1"/>
  <c r="G45" i="11" s="1"/>
  <c r="D46" i="11"/>
  <c r="F46" i="11"/>
  <c r="G46" i="11" s="1"/>
  <c r="D47" i="11"/>
  <c r="F47" i="11"/>
  <c r="D48" i="11"/>
  <c r="F48" i="11"/>
  <c r="D49" i="11"/>
  <c r="F49" i="11"/>
  <c r="D50" i="11"/>
  <c r="F50" i="11" s="1"/>
  <c r="D51" i="11"/>
  <c r="F51" i="11"/>
  <c r="G51" i="11"/>
  <c r="D52" i="11"/>
  <c r="F52" i="11"/>
  <c r="G52" i="11" s="1"/>
  <c r="D53" i="11"/>
  <c r="F53" i="11"/>
  <c r="D54" i="11"/>
  <c r="F54" i="11"/>
  <c r="D55" i="11"/>
  <c r="F55" i="11" s="1"/>
  <c r="D56" i="11"/>
  <c r="F56" i="11"/>
  <c r="D57" i="11"/>
  <c r="F57" i="11"/>
  <c r="G57" i="11"/>
  <c r="D58" i="11"/>
  <c r="F58" i="11" s="1"/>
  <c r="G58" i="11" s="1"/>
  <c r="D59" i="11"/>
  <c r="F59" i="11" s="1"/>
  <c r="G59" i="11" s="1"/>
  <c r="D60" i="11"/>
  <c r="F60" i="11"/>
  <c r="D61" i="11"/>
  <c r="F61" i="11" s="1"/>
  <c r="D62" i="11"/>
  <c r="F62" i="11"/>
  <c r="D63" i="11"/>
  <c r="F63" i="11"/>
  <c r="G63" i="11"/>
  <c r="D64" i="11"/>
  <c r="F64" i="11"/>
  <c r="G64" i="11" s="1"/>
  <c r="D65" i="11"/>
  <c r="F65" i="11" s="1"/>
  <c r="G65" i="11" s="1"/>
  <c r="D66" i="11"/>
  <c r="F66" i="11" s="1"/>
  <c r="D67" i="11"/>
  <c r="F67" i="11"/>
  <c r="D68" i="11"/>
  <c r="F68" i="11" s="1"/>
  <c r="G68" i="11" s="1"/>
  <c r="D69" i="11"/>
  <c r="F69" i="11"/>
  <c r="G69" i="11"/>
  <c r="D70" i="11"/>
  <c r="F70" i="11"/>
  <c r="G70" i="11" s="1"/>
  <c r="D71" i="11"/>
  <c r="F71" i="11" s="1"/>
  <c r="G71" i="11" s="1"/>
  <c r="D72" i="11"/>
  <c r="F72" i="11"/>
  <c r="D73" i="11"/>
  <c r="F73" i="11"/>
  <c r="D74" i="11"/>
  <c r="F74" i="11"/>
  <c r="G74" i="11" s="1"/>
  <c r="D75" i="11"/>
  <c r="F75" i="11"/>
  <c r="D76" i="11"/>
  <c r="F76" i="11"/>
  <c r="G76" i="11" s="1"/>
  <c r="D77" i="11"/>
  <c r="F77" i="11" s="1"/>
  <c r="G77" i="11" s="1"/>
  <c r="D78" i="11"/>
  <c r="F78" i="11"/>
  <c r="G78" i="11" s="1"/>
  <c r="D79" i="11"/>
  <c r="F79" i="11"/>
  <c r="D80" i="11"/>
  <c r="F80" i="11"/>
  <c r="D81" i="11"/>
  <c r="F81" i="11"/>
  <c r="D82" i="11"/>
  <c r="F82" i="11" s="1"/>
  <c r="G82" i="11" s="1"/>
  <c r="D83" i="11"/>
  <c r="F83" i="11"/>
  <c r="G83" i="11"/>
  <c r="D84" i="11"/>
  <c r="F84" i="11"/>
  <c r="G84" i="11" s="1"/>
  <c r="D85" i="11"/>
  <c r="F85" i="11"/>
  <c r="D86" i="11"/>
  <c r="F86" i="11" s="1"/>
  <c r="G86" i="11" s="1"/>
  <c r="D87" i="11"/>
  <c r="F87" i="11" s="1"/>
  <c r="D89" i="11"/>
  <c r="F89" i="11"/>
  <c r="D90" i="11"/>
  <c r="F90" i="11"/>
  <c r="G90" i="11"/>
  <c r="D91" i="11"/>
  <c r="F91" i="11"/>
  <c r="G91" i="11" s="1"/>
  <c r="D92" i="11"/>
  <c r="F92" i="11"/>
  <c r="D93" i="11"/>
  <c r="F93" i="11" s="1"/>
  <c r="D94" i="11"/>
  <c r="F94" i="11"/>
  <c r="D95" i="11"/>
  <c r="F95" i="11"/>
  <c r="D96" i="11"/>
  <c r="F96" i="11"/>
  <c r="G96" i="11"/>
  <c r="D97" i="11"/>
  <c r="F97" i="11" s="1"/>
  <c r="G97" i="11" s="1"/>
  <c r="D98" i="11"/>
  <c r="F98" i="11" s="1"/>
  <c r="G98" i="11" s="1"/>
  <c r="D99" i="11"/>
  <c r="F99" i="11"/>
  <c r="D100" i="11"/>
  <c r="F100" i="11"/>
  <c r="D101" i="11"/>
  <c r="F101" i="11"/>
  <c r="D102" i="11"/>
  <c r="F102" i="11"/>
  <c r="G102" i="11"/>
  <c r="D103" i="11"/>
  <c r="D106" i="11" s="1"/>
  <c r="F106" i="11" s="1"/>
  <c r="G106" i="11" s="1"/>
  <c r="D105" i="11"/>
  <c r="F105" i="11" s="1"/>
  <c r="G105" i="11" s="1"/>
  <c r="D111" i="11"/>
  <c r="F111" i="11" s="1"/>
  <c r="G111" i="11" s="1"/>
  <c r="D132" i="11"/>
  <c r="F132" i="11" s="1"/>
  <c r="G132" i="11" s="1"/>
  <c r="D145" i="11"/>
  <c r="F145" i="11" s="1"/>
  <c r="G145" i="11" s="1"/>
  <c r="D153" i="11"/>
  <c r="F153" i="11" s="1"/>
  <c r="G153" i="11" s="1"/>
  <c r="D74" i="9"/>
  <c r="F74" i="9" s="1"/>
  <c r="G74" i="9" s="1"/>
  <c r="D75" i="9"/>
  <c r="F75" i="9"/>
  <c r="G75" i="9"/>
  <c r="D76" i="9"/>
  <c r="F76" i="9"/>
  <c r="G76" i="9"/>
  <c r="D77" i="9"/>
  <c r="F77" i="9"/>
  <c r="G77" i="9" s="1"/>
  <c r="D78" i="9"/>
  <c r="F78" i="9"/>
  <c r="G78" i="9" s="1"/>
  <c r="D79" i="9"/>
  <c r="F79" i="9" s="1"/>
  <c r="G79" i="9" s="1"/>
  <c r="D80" i="9"/>
  <c r="F80" i="9"/>
  <c r="G80" i="9"/>
  <c r="D81" i="9"/>
  <c r="F81" i="9" s="1"/>
  <c r="G81" i="9" s="1"/>
  <c r="D82" i="9"/>
  <c r="F82" i="9"/>
  <c r="G82" i="9"/>
  <c r="D83" i="9"/>
  <c r="F83" i="9"/>
  <c r="G83" i="9"/>
  <c r="D84" i="9"/>
  <c r="F84" i="9"/>
  <c r="G84" i="9" s="1"/>
  <c r="D85" i="9"/>
  <c r="F85" i="9" s="1"/>
  <c r="G85" i="9" s="1"/>
  <c r="D86" i="9"/>
  <c r="F86" i="9"/>
  <c r="G86" i="9"/>
  <c r="D87" i="9"/>
  <c r="F87" i="9"/>
  <c r="G87" i="9"/>
  <c r="D88" i="9"/>
  <c r="F88" i="9"/>
  <c r="G88" i="9"/>
  <c r="D89" i="9"/>
  <c r="F89" i="9"/>
  <c r="G89" i="9" s="1"/>
  <c r="D90" i="9"/>
  <c r="F90" i="9" s="1"/>
  <c r="G90" i="9" s="1"/>
  <c r="D64" i="9"/>
  <c r="F64" i="9"/>
  <c r="G64" i="9"/>
  <c r="D65" i="9"/>
  <c r="F65" i="9"/>
  <c r="G65" i="9"/>
  <c r="D66" i="9"/>
  <c r="F66" i="9"/>
  <c r="G66" i="9"/>
  <c r="D67" i="9"/>
  <c r="F67" i="9" s="1"/>
  <c r="G67" i="9" s="1"/>
  <c r="D68" i="9"/>
  <c r="F68" i="9"/>
  <c r="G68" i="9"/>
  <c r="D69" i="9"/>
  <c r="F69" i="9"/>
  <c r="G69" i="9"/>
  <c r="D70" i="9"/>
  <c r="F70" i="9"/>
  <c r="G70" i="9"/>
  <c r="D71" i="9"/>
  <c r="F71" i="9"/>
  <c r="G71" i="9"/>
  <c r="D72" i="9"/>
  <c r="F72" i="9"/>
  <c r="G72" i="9" s="1"/>
  <c r="D73" i="9"/>
  <c r="F73" i="9" s="1"/>
  <c r="G73" i="9" s="1"/>
  <c r="D96" i="8"/>
  <c r="F96" i="8"/>
  <c r="G96" i="8"/>
  <c r="D97" i="8"/>
  <c r="F97" i="8"/>
  <c r="G97" i="8" s="1"/>
  <c r="D98" i="8"/>
  <c r="F98" i="8"/>
  <c r="G98" i="8" s="1"/>
  <c r="D99" i="8"/>
  <c r="F99" i="8"/>
  <c r="G99" i="8" s="1"/>
  <c r="D100" i="8"/>
  <c r="F100" i="8"/>
  <c r="G100" i="8"/>
  <c r="D101" i="8"/>
  <c r="F101" i="8" s="1"/>
  <c r="G101" i="8" s="1"/>
  <c r="D102" i="8"/>
  <c r="F102" i="8" s="1"/>
  <c r="G102" i="8" s="1"/>
  <c r="D103" i="8"/>
  <c r="F103" i="8"/>
  <c r="G103" i="8"/>
  <c r="D79" i="8"/>
  <c r="F79" i="8"/>
  <c r="G79" i="8"/>
  <c r="D80" i="8"/>
  <c r="F80" i="8"/>
  <c r="G80" i="8"/>
  <c r="D81" i="8"/>
  <c r="F81" i="8"/>
  <c r="G81" i="8" s="1"/>
  <c r="D82" i="8"/>
  <c r="F82" i="8"/>
  <c r="G82" i="8" s="1"/>
  <c r="D83" i="8"/>
  <c r="F83" i="8"/>
  <c r="G83" i="8"/>
  <c r="D84" i="8"/>
  <c r="F84" i="8"/>
  <c r="G84" i="8"/>
  <c r="D85" i="8"/>
  <c r="F85" i="8" s="1"/>
  <c r="G85" i="8" s="1"/>
  <c r="D86" i="8"/>
  <c r="F86" i="8"/>
  <c r="G86" i="8"/>
  <c r="D87" i="8"/>
  <c r="F87" i="8"/>
  <c r="G87" i="8"/>
  <c r="D88" i="8"/>
  <c r="F88" i="8"/>
  <c r="G88" i="8"/>
  <c r="D89" i="8"/>
  <c r="F89" i="8"/>
  <c r="G89" i="8"/>
  <c r="D90" i="8"/>
  <c r="F90" i="8"/>
  <c r="G90" i="8" s="1"/>
  <c r="D91" i="8"/>
  <c r="F91" i="8"/>
  <c r="G91" i="8"/>
  <c r="D92" i="8"/>
  <c r="F92" i="8" s="1"/>
  <c r="G92" i="8" s="1"/>
  <c r="D93" i="8"/>
  <c r="F93" i="8" s="1"/>
  <c r="G93" i="8" s="1"/>
  <c r="D94" i="8"/>
  <c r="F94" i="8"/>
  <c r="G94" i="8"/>
  <c r="D95" i="8"/>
  <c r="F95" i="8"/>
  <c r="G95" i="8"/>
  <c r="D74" i="8"/>
  <c r="D75" i="8"/>
  <c r="F75" i="8" s="1"/>
  <c r="G75" i="8" s="1"/>
  <c r="D76" i="8"/>
  <c r="F76" i="8" s="1"/>
  <c r="G76" i="8" s="1"/>
  <c r="D77" i="8"/>
  <c r="F77" i="8" s="1"/>
  <c r="G77" i="8" s="1"/>
  <c r="D78" i="8"/>
  <c r="F78" i="8" s="1"/>
  <c r="G78" i="8" s="1"/>
  <c r="D73" i="8"/>
  <c r="D64" i="8"/>
  <c r="F64" i="8" s="1"/>
  <c r="G64" i="8" s="1"/>
  <c r="D65" i="8"/>
  <c r="F65" i="8"/>
  <c r="G65" i="8"/>
  <c r="D66" i="8"/>
  <c r="F66" i="8" s="1"/>
  <c r="G66" i="8" s="1"/>
  <c r="D67" i="8"/>
  <c r="F67" i="8"/>
  <c r="G67" i="8"/>
  <c r="D68" i="8"/>
  <c r="F68" i="8"/>
  <c r="G68" i="8" s="1"/>
  <c r="D69" i="8"/>
  <c r="F69" i="8" s="1"/>
  <c r="G69" i="8" s="1"/>
  <c r="D70" i="8"/>
  <c r="F70" i="8"/>
  <c r="G70" i="8"/>
  <c r="D71" i="8"/>
  <c r="F71" i="8"/>
  <c r="G71" i="8"/>
  <c r="D72" i="8"/>
  <c r="F72" i="8"/>
  <c r="G72" i="8" s="1"/>
  <c r="F73" i="8"/>
  <c r="G73" i="8" s="1"/>
  <c r="F74" i="8"/>
  <c r="G74" i="8" s="1"/>
  <c r="D60" i="8"/>
  <c r="D23" i="8"/>
  <c r="D79" i="2"/>
  <c r="D81" i="2"/>
  <c r="D83" i="2"/>
  <c r="D84" i="2"/>
  <c r="D85" i="2"/>
  <c r="D87" i="2"/>
  <c r="D92" i="2"/>
  <c r="D59" i="2"/>
  <c r="D64" i="2"/>
  <c r="F64" i="2" s="1"/>
  <c r="D65" i="2"/>
  <c r="F65" i="2" s="1"/>
  <c r="G65" i="2" s="1"/>
  <c r="D66" i="2"/>
  <c r="F66" i="2" s="1"/>
  <c r="G66" i="2" s="1"/>
  <c r="D67" i="2"/>
  <c r="F67" i="2" s="1"/>
  <c r="D68" i="2"/>
  <c r="F68" i="2" s="1"/>
  <c r="D69" i="2"/>
  <c r="F69" i="2" s="1"/>
  <c r="D70" i="2"/>
  <c r="F70" i="2" s="1"/>
  <c r="D71" i="2"/>
  <c r="F71" i="2" s="1"/>
  <c r="G71" i="2" s="1"/>
  <c r="D72" i="2"/>
  <c r="F72" i="2" s="1"/>
  <c r="D73" i="2"/>
  <c r="F73" i="2" s="1"/>
  <c r="D74" i="2"/>
  <c r="F74" i="2" s="1"/>
  <c r="D75" i="2"/>
  <c r="F75" i="2" s="1"/>
  <c r="D76" i="2"/>
  <c r="F76" i="2" s="1"/>
  <c r="G76" i="2" s="1"/>
  <c r="D77" i="2"/>
  <c r="F77" i="2" s="1"/>
  <c r="D4" i="2"/>
  <c r="D3" i="2"/>
  <c r="F3" i="2" s="1"/>
  <c r="C2" i="9"/>
  <c r="D2" i="9" s="1"/>
  <c r="F2" i="9" s="1"/>
  <c r="G2" i="9" s="1"/>
  <c r="D3" i="9"/>
  <c r="F3" i="9" s="1"/>
  <c r="G3" i="9" s="1"/>
  <c r="D4" i="9"/>
  <c r="F4" i="9"/>
  <c r="G4" i="9"/>
  <c r="D5" i="9"/>
  <c r="F5" i="9"/>
  <c r="G5" i="9"/>
  <c r="B6" i="9"/>
  <c r="C2" i="8"/>
  <c r="D3" i="8" s="1"/>
  <c r="F3" i="8" s="1"/>
  <c r="G3" i="8" s="1"/>
  <c r="B6" i="8"/>
  <c r="B6" i="2"/>
  <c r="J2" i="1"/>
  <c r="G2" i="1"/>
  <c r="A12" i="1"/>
  <c r="B12" i="1" s="1"/>
  <c r="C7" i="1"/>
  <c r="H3" i="1"/>
  <c r="G3" i="1" s="1"/>
  <c r="H2" i="1"/>
  <c r="D2" i="2"/>
  <c r="D86" i="2" l="1"/>
  <c r="D82" i="2"/>
  <c r="G73" i="2"/>
  <c r="D100" i="2"/>
  <c r="D102" i="2"/>
  <c r="G72" i="2"/>
  <c r="D99" i="2"/>
  <c r="G74" i="2"/>
  <c r="D98" i="2"/>
  <c r="D101" i="2"/>
  <c r="D97" i="2"/>
  <c r="D78" i="2"/>
  <c r="F78" i="2" s="1"/>
  <c r="G78" i="2" s="1"/>
  <c r="D95" i="2"/>
  <c r="D94" i="2"/>
  <c r="G68" i="2"/>
  <c r="D89" i="2"/>
  <c r="G67" i="2"/>
  <c r="G77" i="2"/>
  <c r="D91" i="2"/>
  <c r="D90" i="2"/>
  <c r="G75" i="2"/>
  <c r="G64" i="2"/>
  <c r="D88" i="2"/>
  <c r="G70" i="2"/>
  <c r="G69" i="2"/>
  <c r="D96" i="2"/>
  <c r="D80" i="2"/>
  <c r="F80" i="2" s="1"/>
  <c r="G80" i="2" s="1"/>
  <c r="D93" i="2"/>
  <c r="D146" i="11"/>
  <c r="F146" i="11" s="1"/>
  <c r="G146" i="11" s="1"/>
  <c r="D133" i="11"/>
  <c r="F133" i="11" s="1"/>
  <c r="G133" i="11" s="1"/>
  <c r="D112" i="11"/>
  <c r="F112" i="11" s="1"/>
  <c r="G112" i="11" s="1"/>
  <c r="F72" i="12"/>
  <c r="G72" i="12" s="1"/>
  <c r="D83" i="12"/>
  <c r="F83" i="12" s="1"/>
  <c r="G83" i="12" s="1"/>
  <c r="D99" i="12"/>
  <c r="F99" i="12" s="1"/>
  <c r="G99" i="12" s="1"/>
  <c r="D78" i="12"/>
  <c r="F78" i="12" s="1"/>
  <c r="G78" i="12" s="1"/>
  <c r="D94" i="12"/>
  <c r="F94" i="12" s="1"/>
  <c r="G94" i="12" s="1"/>
  <c r="D79" i="12"/>
  <c r="F79" i="12" s="1"/>
  <c r="G79" i="12" s="1"/>
  <c r="D73" i="12"/>
  <c r="F73" i="12" s="1"/>
  <c r="G73" i="12" s="1"/>
  <c r="D89" i="12"/>
  <c r="F89" i="12" s="1"/>
  <c r="G89" i="12" s="1"/>
  <c r="D84" i="12"/>
  <c r="F84" i="12" s="1"/>
  <c r="G84" i="12" s="1"/>
  <c r="D100" i="12"/>
  <c r="F100" i="12" s="1"/>
  <c r="G100" i="12" s="1"/>
  <c r="D95" i="12"/>
  <c r="F95" i="12" s="1"/>
  <c r="G95" i="12" s="1"/>
  <c r="D159" i="11"/>
  <c r="F159" i="11" s="1"/>
  <c r="G159" i="11" s="1"/>
  <c r="D139" i="11"/>
  <c r="F139" i="11" s="1"/>
  <c r="G139" i="11" s="1"/>
  <c r="D118" i="11"/>
  <c r="F118" i="11" s="1"/>
  <c r="G118" i="11" s="1"/>
  <c r="F103" i="11"/>
  <c r="G103" i="11" s="1"/>
  <c r="D87" i="12"/>
  <c r="F87" i="12" s="1"/>
  <c r="G87" i="12" s="1"/>
  <c r="D80" i="12"/>
  <c r="F80" i="12" s="1"/>
  <c r="G80" i="12" s="1"/>
  <c r="G8" i="11"/>
  <c r="G40" i="11"/>
  <c r="G3" i="11"/>
  <c r="G24" i="11"/>
  <c r="G56" i="11"/>
  <c r="G72" i="11"/>
  <c r="D93" i="12"/>
  <c r="F93" i="12" s="1"/>
  <c r="G93" i="12" s="1"/>
  <c r="D86" i="12"/>
  <c r="F86" i="12" s="1"/>
  <c r="G86" i="12" s="1"/>
  <c r="G51" i="12"/>
  <c r="G19" i="12"/>
  <c r="G75" i="11"/>
  <c r="G50" i="11"/>
  <c r="G43" i="11"/>
  <c r="G18" i="11"/>
  <c r="D77" i="12"/>
  <c r="F77" i="12" s="1"/>
  <c r="G77" i="12" s="1"/>
  <c r="G8" i="13"/>
  <c r="G24" i="13"/>
  <c r="G72" i="13"/>
  <c r="G88" i="13"/>
  <c r="G3" i="13"/>
  <c r="G40" i="13"/>
  <c r="G56" i="13"/>
  <c r="G9" i="12"/>
  <c r="G25" i="12"/>
  <c r="G41" i="12"/>
  <c r="G4" i="12"/>
  <c r="G57" i="12"/>
  <c r="G18" i="13"/>
  <c r="G11" i="13"/>
  <c r="D124" i="11"/>
  <c r="F124" i="11" s="1"/>
  <c r="G124" i="11" s="1"/>
  <c r="D117" i="11"/>
  <c r="F117" i="11" s="1"/>
  <c r="G117" i="11" s="1"/>
  <c r="D123" i="11"/>
  <c r="F123" i="11" s="1"/>
  <c r="G123" i="11" s="1"/>
  <c r="D116" i="11"/>
  <c r="F116" i="11" s="1"/>
  <c r="G116" i="11" s="1"/>
  <c r="D92" i="12"/>
  <c r="F92" i="12" s="1"/>
  <c r="G92" i="12" s="1"/>
  <c r="G63" i="12"/>
  <c r="D108" i="11"/>
  <c r="F108" i="11" s="1"/>
  <c r="G108" i="11" s="1"/>
  <c r="G30" i="11"/>
  <c r="D129" i="11"/>
  <c r="F129" i="11" s="1"/>
  <c r="G129" i="11" s="1"/>
  <c r="G87" i="11"/>
  <c r="G55" i="11"/>
  <c r="G23" i="11"/>
  <c r="D76" i="12"/>
  <c r="F76" i="12" s="1"/>
  <c r="G76" i="12" s="1"/>
  <c r="D138" i="11"/>
  <c r="F138" i="11" s="1"/>
  <c r="G138" i="11" s="1"/>
  <c r="D144" i="11"/>
  <c r="F144" i="11" s="1"/>
  <c r="G144" i="11" s="1"/>
  <c r="G89" i="11"/>
  <c r="G95" i="11"/>
  <c r="G37" i="12"/>
  <c r="G68" i="12"/>
  <c r="G87" i="13"/>
  <c r="D151" i="11"/>
  <c r="F151" i="11" s="1"/>
  <c r="G151" i="11" s="1"/>
  <c r="G49" i="11"/>
  <c r="G56" i="12"/>
  <c r="D149" i="11"/>
  <c r="F149" i="11" s="1"/>
  <c r="G149" i="11" s="1"/>
  <c r="D114" i="11"/>
  <c r="F114" i="11" s="1"/>
  <c r="G114" i="11" s="1"/>
  <c r="G36" i="12"/>
  <c r="G55" i="13"/>
  <c r="D107" i="11"/>
  <c r="F107" i="11" s="1"/>
  <c r="G107" i="11" s="1"/>
  <c r="G67" i="11"/>
  <c r="G61" i="11"/>
  <c r="G35" i="11"/>
  <c r="G29" i="11"/>
  <c r="D98" i="12"/>
  <c r="F98" i="12" s="1"/>
  <c r="G98" i="12" s="1"/>
  <c r="D91" i="12"/>
  <c r="F91" i="12" s="1"/>
  <c r="G91" i="12" s="1"/>
  <c r="D158" i="11"/>
  <c r="F158" i="11" s="1"/>
  <c r="G158" i="11" s="1"/>
  <c r="D101" i="12"/>
  <c r="F101" i="12" s="1"/>
  <c r="G101" i="12" s="1"/>
  <c r="G100" i="11"/>
  <c r="G48" i="11"/>
  <c r="G16" i="11"/>
  <c r="G30" i="12"/>
  <c r="D161" i="11"/>
  <c r="F161" i="11" s="1"/>
  <c r="G161" i="11" s="1"/>
  <c r="D128" i="11"/>
  <c r="F128" i="11" s="1"/>
  <c r="G128" i="11" s="1"/>
  <c r="G73" i="11"/>
  <c r="G60" i="11"/>
  <c r="G41" i="11"/>
  <c r="G28" i="11"/>
  <c r="G9" i="11"/>
  <c r="D82" i="12"/>
  <c r="F82" i="12" s="1"/>
  <c r="G82" i="12" s="1"/>
  <c r="D75" i="12"/>
  <c r="F75" i="12" s="1"/>
  <c r="G75" i="12" s="1"/>
  <c r="G54" i="12"/>
  <c r="G48" i="12"/>
  <c r="G22" i="12"/>
  <c r="G16" i="12"/>
  <c r="G67" i="13"/>
  <c r="G61" i="13"/>
  <c r="G35" i="13"/>
  <c r="G29" i="13"/>
  <c r="D150" i="11"/>
  <c r="F150" i="11" s="1"/>
  <c r="G150" i="11" s="1"/>
  <c r="G17" i="11"/>
  <c r="D156" i="11"/>
  <c r="F156" i="11" s="1"/>
  <c r="G156" i="11" s="1"/>
  <c r="D137" i="11"/>
  <c r="F137" i="11" s="1"/>
  <c r="G137" i="11" s="1"/>
  <c r="G62" i="11"/>
  <c r="D85" i="12"/>
  <c r="F85" i="12" s="1"/>
  <c r="G85" i="12" s="1"/>
  <c r="D143" i="11"/>
  <c r="F143" i="11" s="1"/>
  <c r="G143" i="11" s="1"/>
  <c r="G22" i="11"/>
  <c r="G62" i="12"/>
  <c r="D142" i="11"/>
  <c r="F142" i="11" s="1"/>
  <c r="G142" i="11" s="1"/>
  <c r="D121" i="11"/>
  <c r="F121" i="11" s="1"/>
  <c r="G121" i="11" s="1"/>
  <c r="D113" i="11"/>
  <c r="F113" i="11" s="1"/>
  <c r="G113" i="11" s="1"/>
  <c r="G99" i="11"/>
  <c r="G93" i="11"/>
  <c r="G85" i="11"/>
  <c r="G79" i="11"/>
  <c r="G53" i="11"/>
  <c r="G47" i="11"/>
  <c r="G21" i="11"/>
  <c r="G15" i="11"/>
  <c r="G67" i="12"/>
  <c r="G60" i="12"/>
  <c r="G35" i="12"/>
  <c r="G28" i="12"/>
  <c r="G3" i="12"/>
  <c r="G60" i="13"/>
  <c r="G28" i="13"/>
  <c r="D130" i="11"/>
  <c r="F130" i="11" s="1"/>
  <c r="G130" i="11" s="1"/>
  <c r="G69" i="12"/>
  <c r="G31" i="12"/>
  <c r="G24" i="12"/>
  <c r="D162" i="11"/>
  <c r="D135" i="11"/>
  <c r="F135" i="11" s="1"/>
  <c r="G135" i="11" s="1"/>
  <c r="G80" i="11"/>
  <c r="D148" i="11"/>
  <c r="F148" i="11" s="1"/>
  <c r="G148" i="11" s="1"/>
  <c r="D154" i="11"/>
  <c r="F154" i="11" s="1"/>
  <c r="G154" i="11" s="1"/>
  <c r="G92" i="11"/>
  <c r="G66" i="11"/>
  <c r="G34" i="11"/>
  <c r="G2" i="11"/>
  <c r="D97" i="12"/>
  <c r="F97" i="12" s="1"/>
  <c r="G97" i="12" s="1"/>
  <c r="D90" i="12"/>
  <c r="F90" i="12" s="1"/>
  <c r="G90" i="12" s="1"/>
  <c r="D109" i="11"/>
  <c r="F109" i="11" s="1"/>
  <c r="G109" i="11" s="1"/>
  <c r="D125" i="11"/>
  <c r="F125" i="11" s="1"/>
  <c r="G125" i="11" s="1"/>
  <c r="D141" i="11"/>
  <c r="F141" i="11" s="1"/>
  <c r="G141" i="11" s="1"/>
  <c r="D157" i="11"/>
  <c r="F157" i="11" s="1"/>
  <c r="G157" i="11" s="1"/>
  <c r="D131" i="11"/>
  <c r="F131" i="11" s="1"/>
  <c r="G131" i="11" s="1"/>
  <c r="D147" i="11"/>
  <c r="F147" i="11" s="1"/>
  <c r="G147" i="11" s="1"/>
  <c r="D110" i="11"/>
  <c r="F110" i="11" s="1"/>
  <c r="G110" i="11" s="1"/>
  <c r="D126" i="11"/>
  <c r="F126" i="11" s="1"/>
  <c r="G126" i="11" s="1"/>
  <c r="D104" i="11"/>
  <c r="F104" i="11" s="1"/>
  <c r="G104" i="11" s="1"/>
  <c r="D120" i="11"/>
  <c r="F120" i="11" s="1"/>
  <c r="G120" i="11" s="1"/>
  <c r="D136" i="11"/>
  <c r="F136" i="11" s="1"/>
  <c r="G136" i="11" s="1"/>
  <c r="D152" i="11"/>
  <c r="F152" i="11" s="1"/>
  <c r="G152" i="11" s="1"/>
  <c r="D115" i="11"/>
  <c r="F115" i="11" s="1"/>
  <c r="G115" i="11" s="1"/>
  <c r="G101" i="11"/>
  <c r="G81" i="11"/>
  <c r="D122" i="11"/>
  <c r="F122" i="11" s="1"/>
  <c r="G122" i="11" s="1"/>
  <c r="G94" i="11"/>
  <c r="G54" i="11"/>
  <c r="G23" i="13"/>
  <c r="D155" i="11"/>
  <c r="F155" i="11" s="1"/>
  <c r="G155" i="11" s="1"/>
  <c r="D134" i="11"/>
  <c r="F134" i="11" s="1"/>
  <c r="G134" i="11" s="1"/>
  <c r="D160" i="11"/>
  <c r="F160" i="11" s="1"/>
  <c r="G160" i="11" s="1"/>
  <c r="D140" i="11"/>
  <c r="F140" i="11" s="1"/>
  <c r="G140" i="11" s="1"/>
  <c r="D127" i="11"/>
  <c r="F127" i="11" s="1"/>
  <c r="G127" i="11" s="1"/>
  <c r="D119" i="11"/>
  <c r="F119" i="11" s="1"/>
  <c r="G119" i="11" s="1"/>
  <c r="D88" i="12"/>
  <c r="F88" i="12" s="1"/>
  <c r="G88" i="12" s="1"/>
  <c r="D81" i="12"/>
  <c r="F81" i="12" s="1"/>
  <c r="G81" i="12" s="1"/>
  <c r="D74" i="12"/>
  <c r="F74" i="12" s="1"/>
  <c r="G74" i="12" s="1"/>
  <c r="G66" i="13"/>
  <c r="G34" i="13"/>
  <c r="G2" i="13"/>
  <c r="D88" i="11"/>
  <c r="F88" i="11" s="1"/>
  <c r="G88" i="11" s="1"/>
  <c r="D2" i="8"/>
  <c r="F2" i="8" s="1"/>
  <c r="G2" i="8" s="1"/>
  <c r="F79" i="2"/>
  <c r="G79" i="2" s="1"/>
  <c r="G3" i="2"/>
  <c r="D6" i="9"/>
  <c r="F6" i="9" s="1"/>
  <c r="G6" i="9" s="1"/>
  <c r="F2" i="2"/>
  <c r="G2" i="2" s="1"/>
  <c r="D7" i="1"/>
  <c r="E7" i="1" s="1"/>
  <c r="F162" i="11" l="1"/>
  <c r="G162" i="11" s="1"/>
  <c r="D163" i="11"/>
  <c r="F163" i="11" s="1"/>
  <c r="G163" i="11" s="1"/>
  <c r="D168" i="11"/>
  <c r="F168" i="11" s="1"/>
  <c r="G168" i="11" s="1"/>
  <c r="D170" i="11"/>
  <c r="F170" i="11" s="1"/>
  <c r="G170" i="11" s="1"/>
  <c r="D167" i="11"/>
  <c r="F167" i="11" s="1"/>
  <c r="G167" i="11" s="1"/>
  <c r="D164" i="11"/>
  <c r="F164" i="11" s="1"/>
  <c r="G164" i="11" s="1"/>
  <c r="D169" i="11"/>
  <c r="F169" i="11" s="1"/>
  <c r="G169" i="11" s="1"/>
  <c r="D171" i="11"/>
  <c r="F171" i="11" s="1"/>
  <c r="G171" i="11" s="1"/>
  <c r="D165" i="11"/>
  <c r="F165" i="11" s="1"/>
  <c r="G165" i="11" s="1"/>
  <c r="D166" i="11"/>
  <c r="F166" i="11" s="1"/>
  <c r="G166" i="11" s="1"/>
  <c r="F81" i="2"/>
  <c r="G81" i="2" s="1"/>
  <c r="D5" i="2"/>
  <c r="F4" i="2"/>
  <c r="G4" i="2" s="1"/>
  <c r="D7" i="9"/>
  <c r="F7" i="9" s="1"/>
  <c r="G7" i="9" s="1"/>
  <c r="D4" i="8"/>
  <c r="F4" i="8" s="1"/>
  <c r="G4" i="8" s="1"/>
  <c r="F82" i="2" l="1"/>
  <c r="G82" i="2" s="1"/>
  <c r="F5" i="2"/>
  <c r="G5" i="2" s="1"/>
  <c r="D6" i="2"/>
  <c r="D8" i="9"/>
  <c r="F8" i="9" s="1"/>
  <c r="G8" i="9" s="1"/>
  <c r="D5" i="8"/>
  <c r="F5" i="8" s="1"/>
  <c r="G5" i="8" s="1"/>
  <c r="F6" i="2" l="1"/>
  <c r="G6" i="2" s="1"/>
  <c r="D7" i="2"/>
  <c r="D9" i="9"/>
  <c r="F9" i="9" s="1"/>
  <c r="G9" i="9" s="1"/>
  <c r="D6" i="8"/>
  <c r="F6" i="8" s="1"/>
  <c r="G6" i="8" s="1"/>
  <c r="F83" i="2" l="1"/>
  <c r="G83" i="2" s="1"/>
  <c r="F84" i="2"/>
  <c r="G84" i="2" s="1"/>
  <c r="F7" i="2"/>
  <c r="G7" i="2" s="1"/>
  <c r="D8" i="2"/>
  <c r="D10" i="9"/>
  <c r="F10" i="9" s="1"/>
  <c r="G10" i="9" s="1"/>
  <c r="D7" i="8"/>
  <c r="F7" i="8" s="1"/>
  <c r="G7" i="8" s="1"/>
  <c r="F85" i="2" l="1"/>
  <c r="G85" i="2" s="1"/>
  <c r="F8" i="2"/>
  <c r="G8" i="2" s="1"/>
  <c r="D11" i="9"/>
  <c r="F11" i="9" s="1"/>
  <c r="G11" i="9" s="1"/>
  <c r="D8" i="8"/>
  <c r="F8" i="8" s="1"/>
  <c r="G8" i="8" s="1"/>
  <c r="F86" i="2" l="1"/>
  <c r="G86" i="2" s="1"/>
  <c r="D9" i="2"/>
  <c r="F9" i="2" s="1"/>
  <c r="G9" i="2" s="1"/>
  <c r="D12" i="9"/>
  <c r="F12" i="9" s="1"/>
  <c r="G12" i="9" s="1"/>
  <c r="D9" i="8"/>
  <c r="F9" i="8" s="1"/>
  <c r="G9" i="8" s="1"/>
  <c r="F87" i="2" l="1"/>
  <c r="G87" i="2" s="1"/>
  <c r="D10" i="2"/>
  <c r="F10" i="2" s="1"/>
  <c r="G10" i="2" s="1"/>
  <c r="D13" i="9"/>
  <c r="F13" i="9" s="1"/>
  <c r="G13" i="9" s="1"/>
  <c r="D10" i="8"/>
  <c r="F10" i="8" s="1"/>
  <c r="G10" i="8" s="1"/>
  <c r="F88" i="2" l="1"/>
  <c r="G88" i="2" s="1"/>
  <c r="D11" i="2"/>
  <c r="F11" i="2" s="1"/>
  <c r="G11" i="2" s="1"/>
  <c r="D14" i="9"/>
  <c r="F14" i="9" s="1"/>
  <c r="G14" i="9" s="1"/>
  <c r="D11" i="8"/>
  <c r="F11" i="8" s="1"/>
  <c r="G11" i="8" s="1"/>
  <c r="F89" i="2" l="1"/>
  <c r="G89" i="2" s="1"/>
  <c r="D12" i="2"/>
  <c r="F12" i="2" s="1"/>
  <c r="G12" i="2" s="1"/>
  <c r="D15" i="9"/>
  <c r="F15" i="9" s="1"/>
  <c r="G15" i="9" s="1"/>
  <c r="D12" i="8"/>
  <c r="F12" i="8" s="1"/>
  <c r="G12" i="8" s="1"/>
  <c r="F90" i="2" l="1"/>
  <c r="G90" i="2" s="1"/>
  <c r="D13" i="2"/>
  <c r="F13" i="2" s="1"/>
  <c r="G13" i="2" s="1"/>
  <c r="D16" i="9"/>
  <c r="F16" i="9" s="1"/>
  <c r="G16" i="9" s="1"/>
  <c r="D13" i="8"/>
  <c r="F13" i="8" s="1"/>
  <c r="G13" i="8" s="1"/>
  <c r="F91" i="2" l="1"/>
  <c r="G91" i="2" s="1"/>
  <c r="D14" i="2"/>
  <c r="F14" i="2" s="1"/>
  <c r="G14" i="2" s="1"/>
  <c r="D17" i="9"/>
  <c r="F17" i="9" s="1"/>
  <c r="G17" i="9" s="1"/>
  <c r="D14" i="8"/>
  <c r="F14" i="8" s="1"/>
  <c r="G14" i="8" s="1"/>
  <c r="F92" i="2" l="1"/>
  <c r="G92" i="2" s="1"/>
  <c r="D15" i="2"/>
  <c r="F15" i="2" s="1"/>
  <c r="G15" i="2" s="1"/>
  <c r="D18" i="9"/>
  <c r="F18" i="9" s="1"/>
  <c r="G18" i="9" s="1"/>
  <c r="D15" i="8"/>
  <c r="F15" i="8" s="1"/>
  <c r="G15" i="8" s="1"/>
  <c r="F93" i="2" l="1"/>
  <c r="G93" i="2" s="1"/>
  <c r="D16" i="2"/>
  <c r="F16" i="2" s="1"/>
  <c r="G16" i="2" s="1"/>
  <c r="D19" i="9"/>
  <c r="F19" i="9" s="1"/>
  <c r="G19" i="9" s="1"/>
  <c r="D16" i="8"/>
  <c r="F16" i="8" s="1"/>
  <c r="G16" i="8" s="1"/>
  <c r="F94" i="2" l="1"/>
  <c r="G94" i="2" s="1"/>
  <c r="D17" i="2"/>
  <c r="F17" i="2" s="1"/>
  <c r="G17" i="2" s="1"/>
  <c r="D20" i="9"/>
  <c r="F20" i="9" s="1"/>
  <c r="G20" i="9" s="1"/>
  <c r="D17" i="8"/>
  <c r="F17" i="8" s="1"/>
  <c r="G17" i="8" s="1"/>
  <c r="F95" i="2" l="1"/>
  <c r="G95" i="2" s="1"/>
  <c r="D18" i="2"/>
  <c r="F18" i="2" s="1"/>
  <c r="G18" i="2" s="1"/>
  <c r="D21" i="9"/>
  <c r="F21" i="9" s="1"/>
  <c r="G21" i="9" s="1"/>
  <c r="D18" i="8"/>
  <c r="F18" i="8" s="1"/>
  <c r="G18" i="8" s="1"/>
  <c r="F96" i="2" l="1"/>
  <c r="G96" i="2" s="1"/>
  <c r="D19" i="2"/>
  <c r="F19" i="2" s="1"/>
  <c r="G19" i="2" s="1"/>
  <c r="D22" i="9"/>
  <c r="F22" i="9" s="1"/>
  <c r="G22" i="9" s="1"/>
  <c r="D19" i="8"/>
  <c r="F19" i="8" s="1"/>
  <c r="G19" i="8" s="1"/>
  <c r="F97" i="2" l="1"/>
  <c r="G97" i="2" s="1"/>
  <c r="D20" i="2"/>
  <c r="F20" i="2" s="1"/>
  <c r="G20" i="2" s="1"/>
  <c r="D23" i="9"/>
  <c r="F23" i="9" s="1"/>
  <c r="G23" i="9" s="1"/>
  <c r="D20" i="8"/>
  <c r="F20" i="8" s="1"/>
  <c r="G20" i="8" s="1"/>
  <c r="F98" i="2" l="1"/>
  <c r="G98" i="2" s="1"/>
  <c r="D21" i="2"/>
  <c r="F21" i="2" s="1"/>
  <c r="G21" i="2" s="1"/>
  <c r="D24" i="9"/>
  <c r="F24" i="9" s="1"/>
  <c r="G24" i="9" s="1"/>
  <c r="D21" i="8"/>
  <c r="F21" i="8" s="1"/>
  <c r="G21" i="8" s="1"/>
  <c r="F99" i="2" l="1"/>
  <c r="G99" i="2" s="1"/>
  <c r="D22" i="2"/>
  <c r="F22" i="2" s="1"/>
  <c r="G22" i="2" s="1"/>
  <c r="D25" i="9"/>
  <c r="F25" i="9" s="1"/>
  <c r="G25" i="9" s="1"/>
  <c r="D22" i="8"/>
  <c r="F22" i="8" s="1"/>
  <c r="G22" i="8" s="1"/>
  <c r="F100" i="2" l="1"/>
  <c r="G100" i="2" s="1"/>
  <c r="D23" i="2"/>
  <c r="F23" i="2" s="1"/>
  <c r="G23" i="2" s="1"/>
  <c r="D26" i="9"/>
  <c r="F26" i="9" s="1"/>
  <c r="G26" i="9" s="1"/>
  <c r="F23" i="8"/>
  <c r="G23" i="8" s="1"/>
  <c r="F101" i="2" l="1"/>
  <c r="G101" i="2" s="1"/>
  <c r="D24" i="2"/>
  <c r="F24" i="2" s="1"/>
  <c r="G24" i="2" s="1"/>
  <c r="D27" i="9"/>
  <c r="F27" i="9" s="1"/>
  <c r="G27" i="9" s="1"/>
  <c r="D24" i="8"/>
  <c r="F24" i="8" s="1"/>
  <c r="G24" i="8" s="1"/>
  <c r="D25" i="2" l="1"/>
  <c r="F25" i="2" s="1"/>
  <c r="G25" i="2" s="1"/>
  <c r="D28" i="9"/>
  <c r="F28" i="9" s="1"/>
  <c r="G28" i="9" s="1"/>
  <c r="D25" i="8"/>
  <c r="F25" i="8" s="1"/>
  <c r="G25" i="8" s="1"/>
  <c r="D26" i="2" l="1"/>
  <c r="F26" i="2" s="1"/>
  <c r="G26" i="2" s="1"/>
  <c r="D29" i="9"/>
  <c r="F29" i="9" s="1"/>
  <c r="G29" i="9" s="1"/>
  <c r="D26" i="8"/>
  <c r="F26" i="8" s="1"/>
  <c r="G26" i="8" s="1"/>
  <c r="D27" i="2" l="1"/>
  <c r="F27" i="2" s="1"/>
  <c r="G27" i="2" s="1"/>
  <c r="D30" i="9"/>
  <c r="F30" i="9" s="1"/>
  <c r="G30" i="9" s="1"/>
  <c r="D27" i="8"/>
  <c r="F27" i="8" s="1"/>
  <c r="G27" i="8" s="1"/>
  <c r="D28" i="2" l="1"/>
  <c r="F28" i="2" s="1"/>
  <c r="G28" i="2" s="1"/>
  <c r="D31" i="9"/>
  <c r="F31" i="9" s="1"/>
  <c r="G31" i="9" s="1"/>
  <c r="D28" i="8"/>
  <c r="F28" i="8" s="1"/>
  <c r="G28" i="8" s="1"/>
  <c r="D29" i="2" l="1"/>
  <c r="F29" i="2" s="1"/>
  <c r="G29" i="2" s="1"/>
  <c r="D32" i="9"/>
  <c r="F32" i="9" s="1"/>
  <c r="G32" i="9" s="1"/>
  <c r="D29" i="8"/>
  <c r="F29" i="8" s="1"/>
  <c r="G29" i="8" s="1"/>
  <c r="D30" i="2" l="1"/>
  <c r="F30" i="2" s="1"/>
  <c r="G30" i="2" s="1"/>
  <c r="D33" i="9"/>
  <c r="F33" i="9" s="1"/>
  <c r="G33" i="9" s="1"/>
  <c r="D30" i="8"/>
  <c r="F30" i="8" s="1"/>
  <c r="G30" i="8" s="1"/>
  <c r="D31" i="2" l="1"/>
  <c r="F31" i="2" s="1"/>
  <c r="G31" i="2" s="1"/>
  <c r="D34" i="9"/>
  <c r="F34" i="9" s="1"/>
  <c r="G34" i="9" s="1"/>
  <c r="D31" i="8"/>
  <c r="F31" i="8" s="1"/>
  <c r="G31" i="8" s="1"/>
  <c r="D32" i="2" l="1"/>
  <c r="F32" i="2" s="1"/>
  <c r="G32" i="2" s="1"/>
  <c r="D35" i="9"/>
  <c r="F35" i="9" s="1"/>
  <c r="G35" i="9" s="1"/>
  <c r="D32" i="8"/>
  <c r="F32" i="8" s="1"/>
  <c r="G32" i="8" s="1"/>
  <c r="D33" i="2" l="1"/>
  <c r="F33" i="2" s="1"/>
  <c r="G33" i="2" s="1"/>
  <c r="D36" i="9"/>
  <c r="F36" i="9" s="1"/>
  <c r="G36" i="9" s="1"/>
  <c r="D33" i="8"/>
  <c r="F33" i="8" s="1"/>
  <c r="G33" i="8" s="1"/>
  <c r="D34" i="2" l="1"/>
  <c r="F34" i="2" s="1"/>
  <c r="G34" i="2" s="1"/>
  <c r="D37" i="9"/>
  <c r="F37" i="9" s="1"/>
  <c r="G37" i="9" s="1"/>
  <c r="D34" i="8"/>
  <c r="F34" i="8" s="1"/>
  <c r="G34" i="8" s="1"/>
  <c r="D35" i="2" l="1"/>
  <c r="F35" i="2" s="1"/>
  <c r="G35" i="2" s="1"/>
  <c r="D38" i="9"/>
  <c r="F38" i="9" s="1"/>
  <c r="G38" i="9" s="1"/>
  <c r="D35" i="8"/>
  <c r="F35" i="8" s="1"/>
  <c r="G35" i="8" s="1"/>
  <c r="D36" i="2" l="1"/>
  <c r="F36" i="2" s="1"/>
  <c r="G36" i="2" s="1"/>
  <c r="D39" i="9"/>
  <c r="F39" i="9" s="1"/>
  <c r="G39" i="9" s="1"/>
  <c r="D36" i="8"/>
  <c r="F36" i="8" s="1"/>
  <c r="G36" i="8" s="1"/>
  <c r="D37" i="2" l="1"/>
  <c r="F37" i="2" s="1"/>
  <c r="G37" i="2" s="1"/>
  <c r="D40" i="9"/>
  <c r="F40" i="9" s="1"/>
  <c r="G40" i="9" s="1"/>
  <c r="D37" i="8"/>
  <c r="F37" i="8" s="1"/>
  <c r="G37" i="8" s="1"/>
  <c r="D38" i="2" l="1"/>
  <c r="F38" i="2" s="1"/>
  <c r="G38" i="2" s="1"/>
  <c r="D41" i="9"/>
  <c r="F41" i="9" s="1"/>
  <c r="G41" i="9" s="1"/>
  <c r="D38" i="8"/>
  <c r="F38" i="8" s="1"/>
  <c r="G38" i="8" s="1"/>
  <c r="D39" i="2" l="1"/>
  <c r="F39" i="2" s="1"/>
  <c r="G39" i="2" s="1"/>
  <c r="D42" i="9"/>
  <c r="F42" i="9" s="1"/>
  <c r="G42" i="9" s="1"/>
  <c r="D39" i="8"/>
  <c r="F39" i="8" s="1"/>
  <c r="G39" i="8" s="1"/>
  <c r="D40" i="2" l="1"/>
  <c r="F40" i="2" s="1"/>
  <c r="G40" i="2" s="1"/>
  <c r="D43" i="9"/>
  <c r="F43" i="9" s="1"/>
  <c r="G43" i="9" s="1"/>
  <c r="D40" i="8"/>
  <c r="F40" i="8" s="1"/>
  <c r="G40" i="8" s="1"/>
  <c r="D41" i="2" l="1"/>
  <c r="F41" i="2" s="1"/>
  <c r="G41" i="2" s="1"/>
  <c r="D44" i="9"/>
  <c r="F44" i="9" s="1"/>
  <c r="G44" i="9" s="1"/>
  <c r="D41" i="8"/>
  <c r="F41" i="8" s="1"/>
  <c r="G41" i="8" s="1"/>
  <c r="D42" i="2" l="1"/>
  <c r="F42" i="2" s="1"/>
  <c r="G42" i="2" s="1"/>
  <c r="D45" i="9"/>
  <c r="F45" i="9" s="1"/>
  <c r="G45" i="9" s="1"/>
  <c r="D42" i="8"/>
  <c r="F42" i="8" s="1"/>
  <c r="G42" i="8" s="1"/>
  <c r="D43" i="2" l="1"/>
  <c r="F43" i="2" s="1"/>
  <c r="G43" i="2" s="1"/>
  <c r="D46" i="9"/>
  <c r="F46" i="9" s="1"/>
  <c r="G46" i="9" s="1"/>
  <c r="D43" i="8"/>
  <c r="F43" i="8" s="1"/>
  <c r="G43" i="8" s="1"/>
  <c r="D44" i="2" l="1"/>
  <c r="F44" i="2" s="1"/>
  <c r="G44" i="2" s="1"/>
  <c r="D47" i="9"/>
  <c r="F47" i="9" s="1"/>
  <c r="G47" i="9" s="1"/>
  <c r="D44" i="8"/>
  <c r="F44" i="8" s="1"/>
  <c r="G44" i="8" s="1"/>
  <c r="D45" i="2" l="1"/>
  <c r="F45" i="2" s="1"/>
  <c r="G45" i="2" s="1"/>
  <c r="D48" i="9"/>
  <c r="F48" i="9" s="1"/>
  <c r="G48" i="9" s="1"/>
  <c r="D45" i="8"/>
  <c r="F45" i="8" s="1"/>
  <c r="G45" i="8" s="1"/>
  <c r="D46" i="2" l="1"/>
  <c r="F46" i="2" s="1"/>
  <c r="G46" i="2" s="1"/>
  <c r="D49" i="9"/>
  <c r="F49" i="9" s="1"/>
  <c r="G49" i="9" s="1"/>
  <c r="D46" i="8"/>
  <c r="F46" i="8" s="1"/>
  <c r="G46" i="8" s="1"/>
  <c r="D47" i="2" l="1"/>
  <c r="F47" i="2" s="1"/>
  <c r="G47" i="2" s="1"/>
  <c r="D50" i="9"/>
  <c r="F50" i="9" s="1"/>
  <c r="G50" i="9" s="1"/>
  <c r="D47" i="8"/>
  <c r="F47" i="8" s="1"/>
  <c r="G47" i="8" s="1"/>
  <c r="D48" i="2" l="1"/>
  <c r="F48" i="2" s="1"/>
  <c r="G48" i="2" s="1"/>
  <c r="D51" i="9"/>
  <c r="F51" i="9" s="1"/>
  <c r="G51" i="9" s="1"/>
  <c r="D48" i="8"/>
  <c r="F48" i="8" s="1"/>
  <c r="G48" i="8" s="1"/>
  <c r="D49" i="2" l="1"/>
  <c r="F49" i="2" s="1"/>
  <c r="G49" i="2" s="1"/>
  <c r="D52" i="9"/>
  <c r="F52" i="9" s="1"/>
  <c r="G52" i="9" s="1"/>
  <c r="D49" i="8"/>
  <c r="F49" i="8" s="1"/>
  <c r="G49" i="8" s="1"/>
  <c r="D50" i="2" l="1"/>
  <c r="F50" i="2" s="1"/>
  <c r="G50" i="2" s="1"/>
  <c r="D53" i="9"/>
  <c r="F53" i="9" s="1"/>
  <c r="G53" i="9" s="1"/>
  <c r="D50" i="8"/>
  <c r="F50" i="8" s="1"/>
  <c r="G50" i="8" s="1"/>
  <c r="D51" i="2" l="1"/>
  <c r="F51" i="2" s="1"/>
  <c r="G51" i="2" s="1"/>
  <c r="D54" i="9"/>
  <c r="F54" i="9" s="1"/>
  <c r="G54" i="9" s="1"/>
  <c r="D51" i="8"/>
  <c r="F51" i="8" s="1"/>
  <c r="G51" i="8" s="1"/>
  <c r="D52" i="2" l="1"/>
  <c r="F52" i="2" s="1"/>
  <c r="G52" i="2" s="1"/>
  <c r="D55" i="9"/>
  <c r="F55" i="9" s="1"/>
  <c r="G55" i="9" s="1"/>
  <c r="D52" i="8"/>
  <c r="F52" i="8" s="1"/>
  <c r="G52" i="8" s="1"/>
  <c r="D53" i="2" l="1"/>
  <c r="F53" i="2" s="1"/>
  <c r="G53" i="2" s="1"/>
  <c r="D56" i="9"/>
  <c r="F56" i="9" s="1"/>
  <c r="G56" i="9" s="1"/>
  <c r="D53" i="8"/>
  <c r="F53" i="8" s="1"/>
  <c r="G53" i="8" s="1"/>
  <c r="D54" i="2" l="1"/>
  <c r="F54" i="2" s="1"/>
  <c r="G54" i="2" s="1"/>
  <c r="D57" i="9"/>
  <c r="F57" i="9" s="1"/>
  <c r="G57" i="9" s="1"/>
  <c r="D54" i="8"/>
  <c r="F54" i="8" s="1"/>
  <c r="G54" i="8" s="1"/>
  <c r="D55" i="2" l="1"/>
  <c r="F55" i="2" s="1"/>
  <c r="G55" i="2" s="1"/>
  <c r="D58" i="9"/>
  <c r="F58" i="9" s="1"/>
  <c r="G58" i="9" s="1"/>
  <c r="D55" i="8"/>
  <c r="F55" i="8" s="1"/>
  <c r="G55" i="8" s="1"/>
  <c r="D56" i="2" l="1"/>
  <c r="F56" i="2" s="1"/>
  <c r="G56" i="2" s="1"/>
  <c r="D59" i="9"/>
  <c r="F59" i="9" s="1"/>
  <c r="G59" i="9" s="1"/>
  <c r="D56" i="8"/>
  <c r="F56" i="8" s="1"/>
  <c r="G56" i="8" s="1"/>
  <c r="D57" i="2" l="1"/>
  <c r="F57" i="2" s="1"/>
  <c r="G57" i="2" s="1"/>
  <c r="D60" i="9"/>
  <c r="F60" i="9" s="1"/>
  <c r="G60" i="9" s="1"/>
  <c r="D57" i="8"/>
  <c r="F57" i="8" s="1"/>
  <c r="G57" i="8" s="1"/>
  <c r="D58" i="2" l="1"/>
  <c r="F58" i="2" s="1"/>
  <c r="G58" i="2" s="1"/>
  <c r="D61" i="9"/>
  <c r="F61" i="9" s="1"/>
  <c r="G61" i="9" s="1"/>
  <c r="D58" i="8"/>
  <c r="F58" i="8" s="1"/>
  <c r="G58" i="8" s="1"/>
  <c r="F59" i="2" l="1"/>
  <c r="G59" i="2" s="1"/>
  <c r="D62" i="9"/>
  <c r="F62" i="9" s="1"/>
  <c r="G62" i="9" s="1"/>
  <c r="D63" i="9"/>
  <c r="F63" i="9" s="1"/>
  <c r="G63" i="9" s="1"/>
  <c r="D59" i="8"/>
  <c r="F59" i="8" s="1"/>
  <c r="G59" i="8" s="1"/>
  <c r="D60" i="2" l="1"/>
  <c r="F60" i="2" s="1"/>
  <c r="G60" i="2" s="1"/>
  <c r="F60" i="8"/>
  <c r="G60" i="8" s="1"/>
  <c r="D61" i="2" l="1"/>
  <c r="F61" i="2" s="1"/>
  <c r="G61" i="2" s="1"/>
  <c r="D61" i="8"/>
  <c r="F61" i="8" s="1"/>
  <c r="G61" i="8" s="1"/>
  <c r="D63" i="2" l="1"/>
  <c r="F63" i="2" s="1"/>
  <c r="G63" i="2" s="1"/>
  <c r="D62" i="2"/>
  <c r="F62" i="2" s="1"/>
  <c r="G62" i="2" s="1"/>
  <c r="D63" i="8"/>
  <c r="F63" i="8" s="1"/>
  <c r="G63" i="8" s="1"/>
  <c r="D62" i="8"/>
  <c r="F62" i="8" s="1"/>
  <c r="G62" i="8" s="1"/>
  <c r="D103" i="2"/>
  <c r="F102" i="2"/>
  <c r="G102" i="2" s="1"/>
  <c r="F103" i="2" l="1"/>
  <c r="G103" i="2" s="1"/>
  <c r="D155" i="2"/>
  <c r="F155" i="2" s="1"/>
  <c r="G155" i="2" s="1"/>
  <c r="D133" i="2"/>
  <c r="F133" i="2" s="1"/>
  <c r="G133" i="2" s="1"/>
  <c r="D124" i="2"/>
  <c r="F124" i="2" s="1"/>
  <c r="G124" i="2" s="1"/>
  <c r="D104" i="2"/>
  <c r="F104" i="2" s="1"/>
  <c r="G104" i="2" s="1"/>
  <c r="D162" i="2"/>
  <c r="D142" i="2"/>
  <c r="F142" i="2" s="1"/>
  <c r="G142" i="2" s="1"/>
  <c r="D134" i="2"/>
  <c r="F134" i="2" s="1"/>
  <c r="G134" i="2" s="1"/>
  <c r="D125" i="2"/>
  <c r="F125" i="2" s="1"/>
  <c r="G125" i="2" s="1"/>
  <c r="D156" i="2"/>
  <c r="F156" i="2" s="1"/>
  <c r="G156" i="2" s="1"/>
  <c r="D135" i="2"/>
  <c r="F135" i="2" s="1"/>
  <c r="G135" i="2" s="1"/>
  <c r="D144" i="2"/>
  <c r="F144" i="2" s="1"/>
  <c r="G144" i="2" s="1"/>
  <c r="D139" i="2"/>
  <c r="F139" i="2" s="1"/>
  <c r="G139" i="2" s="1"/>
  <c r="D110" i="2"/>
  <c r="F110" i="2" s="1"/>
  <c r="G110" i="2" s="1"/>
  <c r="D111" i="2"/>
  <c r="F111" i="2" s="1"/>
  <c r="G111" i="2" s="1"/>
  <c r="D149" i="2"/>
  <c r="F149" i="2" s="1"/>
  <c r="G149" i="2" s="1"/>
  <c r="D113" i="2"/>
  <c r="F113" i="2" s="1"/>
  <c r="G113" i="2" s="1"/>
  <c r="D157" i="2"/>
  <c r="F157" i="2" s="1"/>
  <c r="G157" i="2" s="1"/>
  <c r="D136" i="2"/>
  <c r="F136" i="2" s="1"/>
  <c r="G136" i="2" s="1"/>
  <c r="D105" i="2"/>
  <c r="F105" i="2" s="1"/>
  <c r="G105" i="2" s="1"/>
  <c r="D158" i="2"/>
  <c r="F158" i="2" s="1"/>
  <c r="G158" i="2" s="1"/>
  <c r="D137" i="2"/>
  <c r="F137" i="2" s="1"/>
  <c r="G137" i="2" s="1"/>
  <c r="D106" i="2"/>
  <c r="F106" i="2" s="1"/>
  <c r="G106" i="2" s="1"/>
  <c r="D159" i="2"/>
  <c r="F159" i="2" s="1"/>
  <c r="G159" i="2" s="1"/>
  <c r="D138" i="2"/>
  <c r="F138" i="2" s="1"/>
  <c r="G138" i="2" s="1"/>
  <c r="D107" i="2"/>
  <c r="F107" i="2" s="1"/>
  <c r="G107" i="2" s="1"/>
  <c r="D109" i="2"/>
  <c r="F109" i="2" s="1"/>
  <c r="G109" i="2" s="1"/>
  <c r="D146" i="2"/>
  <c r="F146" i="2" s="1"/>
  <c r="G146" i="2" s="1"/>
  <c r="D108" i="2"/>
  <c r="F108" i="2" s="1"/>
  <c r="G108" i="2" s="1"/>
  <c r="D148" i="2"/>
  <c r="F148" i="2" s="1"/>
  <c r="G148" i="2" s="1"/>
  <c r="D112" i="2"/>
  <c r="F112" i="2" s="1"/>
  <c r="G112" i="2" s="1"/>
  <c r="D150" i="2"/>
  <c r="F150" i="2" s="1"/>
  <c r="G150" i="2" s="1"/>
  <c r="D128" i="2"/>
  <c r="F128" i="2" s="1"/>
  <c r="G128" i="2" s="1"/>
  <c r="D119" i="2"/>
  <c r="F119" i="2" s="1"/>
  <c r="G119" i="2" s="1"/>
  <c r="D114" i="2"/>
  <c r="F114" i="2" s="1"/>
  <c r="G114" i="2" s="1"/>
  <c r="D151" i="2"/>
  <c r="F151" i="2" s="1"/>
  <c r="G151" i="2" s="1"/>
  <c r="D129" i="2"/>
  <c r="F129" i="2" s="1"/>
  <c r="G129" i="2" s="1"/>
  <c r="D120" i="2"/>
  <c r="F120" i="2" s="1"/>
  <c r="G120" i="2" s="1"/>
  <c r="D115" i="2"/>
  <c r="F115" i="2" s="1"/>
  <c r="G115" i="2" s="1"/>
  <c r="D145" i="2"/>
  <c r="F145" i="2" s="1"/>
  <c r="G145" i="2" s="1"/>
  <c r="D161" i="2"/>
  <c r="F161" i="2" s="1"/>
  <c r="G161" i="2" s="1"/>
  <c r="D141" i="2"/>
  <c r="F141" i="2" s="1"/>
  <c r="G141" i="2" s="1"/>
  <c r="D152" i="2"/>
  <c r="F152" i="2" s="1"/>
  <c r="G152" i="2" s="1"/>
  <c r="D130" i="2"/>
  <c r="F130" i="2" s="1"/>
  <c r="G130" i="2" s="1"/>
  <c r="D121" i="2"/>
  <c r="F121" i="2" s="1"/>
  <c r="G121" i="2" s="1"/>
  <c r="D116" i="2"/>
  <c r="F116" i="2" s="1"/>
  <c r="G116" i="2" s="1"/>
  <c r="D153" i="2"/>
  <c r="F153" i="2" s="1"/>
  <c r="G153" i="2" s="1"/>
  <c r="D131" i="2"/>
  <c r="F131" i="2" s="1"/>
  <c r="G131" i="2" s="1"/>
  <c r="D122" i="2"/>
  <c r="F122" i="2" s="1"/>
  <c r="G122" i="2" s="1"/>
  <c r="D117" i="2"/>
  <c r="F117" i="2" s="1"/>
  <c r="G117" i="2" s="1"/>
  <c r="D154" i="2"/>
  <c r="F154" i="2" s="1"/>
  <c r="G154" i="2" s="1"/>
  <c r="D132" i="2"/>
  <c r="F132" i="2" s="1"/>
  <c r="G132" i="2" s="1"/>
  <c r="D123" i="2"/>
  <c r="F123" i="2" s="1"/>
  <c r="G123" i="2" s="1"/>
  <c r="D118" i="2"/>
  <c r="F118" i="2" s="1"/>
  <c r="G118" i="2" s="1"/>
  <c r="D143" i="2"/>
  <c r="F143" i="2" s="1"/>
  <c r="G143" i="2" s="1"/>
  <c r="D126" i="2"/>
  <c r="F126" i="2" s="1"/>
  <c r="G126" i="2" s="1"/>
  <c r="D160" i="2"/>
  <c r="F160" i="2" s="1"/>
  <c r="G160" i="2" s="1"/>
  <c r="D140" i="2"/>
  <c r="F140" i="2" s="1"/>
  <c r="G140" i="2" s="1"/>
  <c r="D147" i="2"/>
  <c r="F147" i="2" s="1"/>
  <c r="G147" i="2" s="1"/>
  <c r="D127" i="2"/>
  <c r="F127" i="2" s="1"/>
  <c r="G127" i="2" s="1"/>
  <c r="F162" i="2" l="1"/>
  <c r="G162" i="2" s="1"/>
  <c r="D163" i="2"/>
  <c r="F163" i="2" s="1"/>
  <c r="G163" i="2" s="1"/>
  <c r="D164" i="2"/>
  <c r="F164" i="2" s="1"/>
  <c r="G164" i="2" s="1"/>
  <c r="D165" i="2"/>
  <c r="F165" i="2" s="1"/>
  <c r="G165" i="2" s="1"/>
  <c r="D167" i="2"/>
  <c r="F167" i="2" s="1"/>
  <c r="G167" i="2" s="1"/>
  <c r="D168" i="2"/>
  <c r="F168" i="2" s="1"/>
  <c r="G168" i="2" s="1"/>
  <c r="D166" i="2"/>
  <c r="F166" i="2" s="1"/>
  <c r="G166" i="2" s="1"/>
  <c r="D169" i="2"/>
  <c r="F169" i="2" s="1"/>
  <c r="G169" i="2" s="1"/>
  <c r="D170" i="2"/>
  <c r="F170" i="2" s="1"/>
  <c r="G170" i="2" s="1"/>
  <c r="D171" i="2"/>
  <c r="F171" i="2" s="1"/>
  <c r="G171" i="2" s="1"/>
</calcChain>
</file>

<file path=xl/sharedStrings.xml><?xml version="1.0" encoding="utf-8"?>
<sst xmlns="http://schemas.openxmlformats.org/spreadsheetml/2006/main" count="220" uniqueCount="56">
  <si>
    <t>Buffers</t>
  </si>
  <si>
    <t>Desired Molarity (M)</t>
  </si>
  <si>
    <t>pKa of Compound</t>
  </si>
  <si>
    <t>Desired pH</t>
  </si>
  <si>
    <t>Desired Volume (ml)</t>
  </si>
  <si>
    <t>MW of compound (g/mol)</t>
  </si>
  <si>
    <t>Moles of compound</t>
  </si>
  <si>
    <t>Mass of compound (mg)</t>
  </si>
  <si>
    <t>Actual mass of compound (mg)</t>
  </si>
  <si>
    <t>Actual Moles of compound</t>
  </si>
  <si>
    <t>#1 Sodium Acetate</t>
  </si>
  <si>
    <t>#2 Sodium Acetate</t>
  </si>
  <si>
    <t>-</t>
  </si>
  <si>
    <t>Preparing proper pH of Buffer #1</t>
  </si>
  <si>
    <t>Added Compound</t>
  </si>
  <si>
    <t>Equivalence</t>
  </si>
  <si>
    <t>Ratio of Base to Acid</t>
  </si>
  <si>
    <t>Moles of Acid</t>
  </si>
  <si>
    <t>Moles of base</t>
  </si>
  <si>
    <t>HCl</t>
  </si>
  <si>
    <t>Preparing proper pH of Buffer #2</t>
  </si>
  <si>
    <t>Volume Solution 1 to add (ml)</t>
  </si>
  <si>
    <t>Water added to new solution (ml)</t>
  </si>
  <si>
    <t>Initial Volume of Titrant (ml)</t>
  </si>
  <si>
    <t>Volume of Titrant Read (mL)</t>
  </si>
  <si>
    <t>Volume of Titrant added  (mL)</t>
  </si>
  <si>
    <t>pH measurement</t>
  </si>
  <si>
    <t># of moles of titrant added</t>
  </si>
  <si>
    <t># of equivalents of titrant added</t>
  </si>
  <si>
    <t>Initial pH</t>
  </si>
  <si>
    <t>Molarity of Titrant (M)</t>
  </si>
  <si>
    <t>Molarity of Analyte (M)</t>
  </si>
  <si>
    <t>Eq (X)</t>
  </si>
  <si>
    <t>pH (Y)</t>
  </si>
  <si>
    <t>Volume of analyte (ml)</t>
  </si>
  <si>
    <t>Moles of analyte</t>
  </si>
  <si>
    <t>Amino Acid</t>
  </si>
  <si>
    <t>M.W.</t>
  </si>
  <si>
    <t>Conc. (M)</t>
  </si>
  <si>
    <t>glycine</t>
  </si>
  <si>
    <t>---</t>
  </si>
  <si>
    <t>histidine</t>
  </si>
  <si>
    <t>lysine</t>
  </si>
  <si>
    <t>glutamate</t>
  </si>
  <si>
    <r>
      <t>pK</t>
    </r>
    <r>
      <rPr>
        <b/>
        <vertAlign val="subscript"/>
        <sz val="20"/>
        <color rgb="FF000000"/>
        <rFont val="Times New Roman"/>
        <family val="1"/>
      </rPr>
      <t>a–COOH</t>
    </r>
  </si>
  <si>
    <r>
      <t>pK</t>
    </r>
    <r>
      <rPr>
        <b/>
        <vertAlign val="subscript"/>
        <sz val="20"/>
        <color rgb="FF000000"/>
        <rFont val="Times New Roman"/>
        <family val="1"/>
      </rPr>
      <t>a–NH3+</t>
    </r>
  </si>
  <si>
    <r>
      <t>pK</t>
    </r>
    <r>
      <rPr>
        <b/>
        <vertAlign val="subscript"/>
        <sz val="20"/>
        <color rgb="FF000000"/>
        <rFont val="Times New Roman"/>
        <family val="1"/>
      </rPr>
      <t>a–R</t>
    </r>
  </si>
  <si>
    <r>
      <t>pH</t>
    </r>
    <r>
      <rPr>
        <b/>
        <vertAlign val="superscript"/>
        <sz val="20"/>
        <color rgb="FF000000"/>
        <rFont val="Times New Roman"/>
        <family val="1"/>
      </rPr>
      <t>1</t>
    </r>
  </si>
  <si>
    <t>Equivalence Point 1</t>
  </si>
  <si>
    <t>Half-equivalence Point 1</t>
  </si>
  <si>
    <t>Equivalence Point 2</t>
  </si>
  <si>
    <t>Half-equivalence Point 2</t>
  </si>
  <si>
    <t>Equivalence Point 3</t>
  </si>
  <si>
    <t>Half-equivalence Point 3</t>
  </si>
  <si>
    <t>Refill the Burette with Base - New Starting volume (mL)</t>
  </si>
  <si>
    <t>Half-equivalence Point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</si>
</sst>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20"/>
      <color rgb="FF000000"/>
      <name val="Times New Roman"/>
      <family val="1"/>
    </font>
    <font>
      <b/>
      <vertAlign val="subscript"/>
      <sz val="20"/>
      <color rgb="FF000000"/>
      <name val="Times New Roman"/>
      <family val="1"/>
    </font>
    <font>
      <b/>
      <vertAlign val="superscript"/>
      <sz val="20"/>
      <color rgb="FF000000"/>
      <name val="Times New Roman"/>
      <family val="1"/>
    </font>
    <font>
      <sz val="20"/>
      <color rgb="FF000000"/>
      <name val="Times New Roman"/>
      <family val="1"/>
    </font>
    <font>
      <sz val="20"/>
      <color theme="1"/>
      <name val="Times New Roman"/>
      <family val="1"/>
    </font>
    <font>
      <sz val="10"/>
      <color theme="1"/>
      <name val="Arial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1" fillId="0" borderId="1" xfId="0" applyFont="1" applyBorder="1"/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" fontId="1" fillId="0" borderId="1" xfId="0" applyNumberFormat="1" applyFont="1" applyBorder="1"/>
    <xf numFmtId="1" fontId="1" fillId="0" borderId="0" xfId="0" applyNumberFormat="1" applyFont="1"/>
    <xf numFmtId="2" fontId="1" fillId="0" borderId="0" xfId="0" applyNumberFormat="1" applyFont="1" applyAlignment="1">
      <alignment wrapText="1"/>
    </xf>
    <xf numFmtId="0" fontId="1" fillId="0" borderId="3" xfId="0" applyFont="1" applyBorder="1"/>
    <xf numFmtId="0" fontId="0" fillId="2" borderId="1" xfId="0" applyFill="1" applyBorder="1" applyAlignment="1">
      <alignment horizontal="center"/>
    </xf>
    <xf numFmtId="10" fontId="0" fillId="0" borderId="0" xfId="1" applyNumberFormat="1" applyFont="1"/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8" fillId="2" borderId="1" xfId="0" applyFont="1" applyFill="1" applyBorder="1"/>
    <xf numFmtId="0" fontId="8" fillId="0" borderId="1" xfId="0" applyFont="1" applyBorder="1"/>
    <xf numFmtId="0" fontId="8" fillId="2" borderId="2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8" fillId="0" borderId="3" xfId="0" applyFont="1" applyBorder="1"/>
    <xf numFmtId="0" fontId="8" fillId="0" borderId="1" xfId="0" applyFont="1" applyBorder="1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 wrapText="1"/>
    </xf>
    <xf numFmtId="2" fontId="8" fillId="0" borderId="2" xfId="0" applyNumberFormat="1" applyFont="1" applyBorder="1" applyAlignment="1">
      <alignment horizontal="center" wrapText="1"/>
    </xf>
    <xf numFmtId="0" fontId="0" fillId="6" borderId="8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9" fillId="0" borderId="0" xfId="0" applyFont="1"/>
    <xf numFmtId="164" fontId="8" fillId="0" borderId="1" xfId="0" applyNumberFormat="1" applyFont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Histidine Titration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 VS EQ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Histidine!$G$2:$G$171</c:f>
              <c:numCache>
                <c:formatCode>General</c:formatCode>
                <c:ptCount val="170"/>
                <c:pt idx="0">
                  <c:v>0</c:v>
                </c:pt>
                <c:pt idx="1">
                  <c:v>3.1999999999999938E-2</c:v>
                </c:pt>
                <c:pt idx="2">
                  <c:v>0.13899999999999998</c:v>
                </c:pt>
                <c:pt idx="3">
                  <c:v>0.19299999999999989</c:v>
                </c:pt>
                <c:pt idx="4">
                  <c:v>0.23999999999999994</c:v>
                </c:pt>
                <c:pt idx="5">
                  <c:v>0.28799999999999998</c:v>
                </c:pt>
                <c:pt idx="6">
                  <c:v>0.33399999999999985</c:v>
                </c:pt>
                <c:pt idx="7">
                  <c:v>0.39899999999999997</c:v>
                </c:pt>
                <c:pt idx="8">
                  <c:v>0.44400000000000006</c:v>
                </c:pt>
                <c:pt idx="9">
                  <c:v>0.48399999999999987</c:v>
                </c:pt>
                <c:pt idx="10">
                  <c:v>0.53899999999999992</c:v>
                </c:pt>
                <c:pt idx="11">
                  <c:v>0.59099999999999997</c:v>
                </c:pt>
                <c:pt idx="12">
                  <c:v>0.6409999999999999</c:v>
                </c:pt>
                <c:pt idx="13">
                  <c:v>0.69400000000000006</c:v>
                </c:pt>
                <c:pt idx="14">
                  <c:v>0.74</c:v>
                </c:pt>
                <c:pt idx="15">
                  <c:v>0.78700000000000003</c:v>
                </c:pt>
                <c:pt idx="16">
                  <c:v>0.83400000000000007</c:v>
                </c:pt>
                <c:pt idx="17">
                  <c:v>0.88999999999999979</c:v>
                </c:pt>
                <c:pt idx="18">
                  <c:v>0.94299999999999995</c:v>
                </c:pt>
                <c:pt idx="19">
                  <c:v>0.9890000000000001</c:v>
                </c:pt>
                <c:pt idx="20">
                  <c:v>1.0379999999999998</c:v>
                </c:pt>
                <c:pt idx="21">
                  <c:v>1.093</c:v>
                </c:pt>
                <c:pt idx="22">
                  <c:v>1.1400000000000001</c:v>
                </c:pt>
                <c:pt idx="23">
                  <c:v>1.1890000000000001</c:v>
                </c:pt>
                <c:pt idx="24">
                  <c:v>1.2370000000000003</c:v>
                </c:pt>
                <c:pt idx="25">
                  <c:v>1.2870000000000001</c:v>
                </c:pt>
                <c:pt idx="26">
                  <c:v>1.3359999999999999</c:v>
                </c:pt>
                <c:pt idx="27">
                  <c:v>1.8929999999999998</c:v>
                </c:pt>
                <c:pt idx="28">
                  <c:v>1.4390000000000001</c:v>
                </c:pt>
                <c:pt idx="29">
                  <c:v>1.4890000000000001</c:v>
                </c:pt>
                <c:pt idx="30">
                  <c:v>1.5310000000000001</c:v>
                </c:pt>
                <c:pt idx="31">
                  <c:v>1.5940000000000003</c:v>
                </c:pt>
                <c:pt idx="32">
                  <c:v>1.6360000000000001</c:v>
                </c:pt>
                <c:pt idx="33">
                  <c:v>1.6900000000000002</c:v>
                </c:pt>
                <c:pt idx="34">
                  <c:v>1.738</c:v>
                </c:pt>
                <c:pt idx="35">
                  <c:v>1.788</c:v>
                </c:pt>
                <c:pt idx="36">
                  <c:v>1.8420000000000003</c:v>
                </c:pt>
                <c:pt idx="37">
                  <c:v>1.8900000000000003</c:v>
                </c:pt>
                <c:pt idx="38">
                  <c:v>1.9440000000000004</c:v>
                </c:pt>
                <c:pt idx="39">
                  <c:v>1.9910000000000001</c:v>
                </c:pt>
                <c:pt idx="40">
                  <c:v>2.0390000000000006</c:v>
                </c:pt>
                <c:pt idx="41">
                  <c:v>2.0900000000000003</c:v>
                </c:pt>
                <c:pt idx="42">
                  <c:v>2.1440000000000001</c:v>
                </c:pt>
                <c:pt idx="43">
                  <c:v>2.1909999999999998</c:v>
                </c:pt>
                <c:pt idx="44">
                  <c:v>2.2420000000000004</c:v>
                </c:pt>
                <c:pt idx="45">
                  <c:v>2.2890000000000001</c:v>
                </c:pt>
                <c:pt idx="46">
                  <c:v>2.34</c:v>
                </c:pt>
                <c:pt idx="47">
                  <c:v>2.39</c:v>
                </c:pt>
                <c:pt idx="48">
                  <c:v>2.4410000000000003</c:v>
                </c:pt>
                <c:pt idx="49">
                  <c:v>2.4889999999999999</c:v>
                </c:pt>
                <c:pt idx="50">
                  <c:v>2.54</c:v>
                </c:pt>
                <c:pt idx="51">
                  <c:v>2.5869999999999997</c:v>
                </c:pt>
                <c:pt idx="52">
                  <c:v>2.64</c:v>
                </c:pt>
                <c:pt idx="53">
                  <c:v>2.6890000000000005</c:v>
                </c:pt>
                <c:pt idx="54">
                  <c:v>2.7389999999999999</c:v>
                </c:pt>
                <c:pt idx="55">
                  <c:v>2.79</c:v>
                </c:pt>
                <c:pt idx="56">
                  <c:v>2.84</c:v>
                </c:pt>
                <c:pt idx="57">
                  <c:v>2.89</c:v>
                </c:pt>
                <c:pt idx="58">
                  <c:v>2.944</c:v>
                </c:pt>
                <c:pt idx="59">
                  <c:v>2.9910000000000005</c:v>
                </c:pt>
                <c:pt idx="60">
                  <c:v>3.0439999999999996</c:v>
                </c:pt>
                <c:pt idx="61">
                  <c:v>3.0930000000000004</c:v>
                </c:pt>
                <c:pt idx="62">
                  <c:v>3.15</c:v>
                </c:pt>
                <c:pt idx="63">
                  <c:v>3.1939999999999995</c:v>
                </c:pt>
                <c:pt idx="64">
                  <c:v>3.2390000000000003</c:v>
                </c:pt>
                <c:pt idx="65">
                  <c:v>3.2880000000000003</c:v>
                </c:pt>
                <c:pt idx="66">
                  <c:v>3.34</c:v>
                </c:pt>
                <c:pt idx="67">
                  <c:v>3.3890000000000002</c:v>
                </c:pt>
                <c:pt idx="68">
                  <c:v>3.4380000000000002</c:v>
                </c:pt>
                <c:pt idx="69">
                  <c:v>3.4889999999999999</c:v>
                </c:pt>
                <c:pt idx="70">
                  <c:v>3.5470000000000002</c:v>
                </c:pt>
                <c:pt idx="71">
                  <c:v>3.5900000000000003</c:v>
                </c:pt>
                <c:pt idx="72">
                  <c:v>3.6310000000000007</c:v>
                </c:pt>
                <c:pt idx="73">
                  <c:v>3.6890000000000001</c:v>
                </c:pt>
                <c:pt idx="74">
                  <c:v>3.7380000000000004</c:v>
                </c:pt>
                <c:pt idx="75">
                  <c:v>3.7970000000000002</c:v>
                </c:pt>
                <c:pt idx="76">
                  <c:v>3.827</c:v>
                </c:pt>
                <c:pt idx="77">
                  <c:v>3.8759999999999994</c:v>
                </c:pt>
                <c:pt idx="78">
                  <c:v>3.927</c:v>
                </c:pt>
                <c:pt idx="79">
                  <c:v>3.9759999999999995</c:v>
                </c:pt>
                <c:pt idx="80">
                  <c:v>4.0269999999999992</c:v>
                </c:pt>
                <c:pt idx="81">
                  <c:v>4.0759999999999996</c:v>
                </c:pt>
                <c:pt idx="82">
                  <c:v>4.1320000000000006</c:v>
                </c:pt>
                <c:pt idx="83">
                  <c:v>4.1769999999999996</c:v>
                </c:pt>
                <c:pt idx="84">
                  <c:v>4.226</c:v>
                </c:pt>
                <c:pt idx="85">
                  <c:v>4.282</c:v>
                </c:pt>
                <c:pt idx="86">
                  <c:v>4.3290000000000006</c:v>
                </c:pt>
                <c:pt idx="87">
                  <c:v>4.4090000000000007</c:v>
                </c:pt>
                <c:pt idx="88">
                  <c:v>5.9319999999999995</c:v>
                </c:pt>
                <c:pt idx="89">
                  <c:v>5.979000000000001</c:v>
                </c:pt>
                <c:pt idx="90">
                  <c:v>6.077</c:v>
                </c:pt>
                <c:pt idx="91">
                  <c:v>6.176000000000001</c:v>
                </c:pt>
                <c:pt idx="92">
                  <c:v>6.2819999999999991</c:v>
                </c:pt>
                <c:pt idx="93">
                  <c:v>6.3760000000000012</c:v>
                </c:pt>
                <c:pt idx="94">
                  <c:v>6.4780000000000006</c:v>
                </c:pt>
                <c:pt idx="95">
                  <c:v>6.5750000000000011</c:v>
                </c:pt>
                <c:pt idx="96">
                  <c:v>6.6769999999999996</c:v>
                </c:pt>
                <c:pt idx="97">
                  <c:v>6.7780000000000005</c:v>
                </c:pt>
                <c:pt idx="98">
                  <c:v>6.8790000000000004</c:v>
                </c:pt>
                <c:pt idx="99">
                  <c:v>6.9779999999999998</c:v>
                </c:pt>
                <c:pt idx="100">
                  <c:v>7.0749999999999993</c:v>
                </c:pt>
                <c:pt idx="101">
                  <c:v>7.1950000000000003</c:v>
                </c:pt>
                <c:pt idx="102">
                  <c:v>7.4150000000000009</c:v>
                </c:pt>
                <c:pt idx="103">
                  <c:v>7.5159999999999991</c:v>
                </c:pt>
                <c:pt idx="104">
                  <c:v>7.6130000000000004</c:v>
                </c:pt>
                <c:pt idx="105">
                  <c:v>7.7140000000000004</c:v>
                </c:pt>
                <c:pt idx="106">
                  <c:v>7.8150000000000004</c:v>
                </c:pt>
                <c:pt idx="107">
                  <c:v>7.9350000000000005</c:v>
                </c:pt>
                <c:pt idx="108">
                  <c:v>8.0180000000000007</c:v>
                </c:pt>
                <c:pt idx="109">
                  <c:v>8.1159999999999997</c:v>
                </c:pt>
                <c:pt idx="110">
                  <c:v>8.2149999999999999</c:v>
                </c:pt>
                <c:pt idx="111">
                  <c:v>8.3160000000000007</c:v>
                </c:pt>
                <c:pt idx="112">
                  <c:v>8.4150000000000009</c:v>
                </c:pt>
                <c:pt idx="113">
                  <c:v>8.5169999999999995</c:v>
                </c:pt>
                <c:pt idx="114">
                  <c:v>8.6140000000000008</c:v>
                </c:pt>
                <c:pt idx="115">
                  <c:v>8.7200000000000006</c:v>
                </c:pt>
                <c:pt idx="116">
                  <c:v>8.8260000000000005</c:v>
                </c:pt>
                <c:pt idx="117">
                  <c:v>8.9130000000000003</c:v>
                </c:pt>
                <c:pt idx="118">
                  <c:v>9.0139999999999993</c:v>
                </c:pt>
                <c:pt idx="119">
                  <c:v>9.1230000000000011</c:v>
                </c:pt>
                <c:pt idx="120">
                  <c:v>9.1690000000000005</c:v>
                </c:pt>
                <c:pt idx="121">
                  <c:v>9.2159999999999993</c:v>
                </c:pt>
                <c:pt idx="122">
                  <c:v>9.2650000000000006</c:v>
                </c:pt>
                <c:pt idx="123">
                  <c:v>9.3230000000000004</c:v>
                </c:pt>
                <c:pt idx="124">
                  <c:v>9.3670000000000009</c:v>
                </c:pt>
                <c:pt idx="125">
                  <c:v>9.4150000000000009</c:v>
                </c:pt>
                <c:pt idx="126">
                  <c:v>9.504999999999999</c:v>
                </c:pt>
                <c:pt idx="127">
                  <c:v>9.5730000000000022</c:v>
                </c:pt>
                <c:pt idx="128">
                  <c:v>9.6230000000000011</c:v>
                </c:pt>
                <c:pt idx="129">
                  <c:v>9.7269999999999985</c:v>
                </c:pt>
                <c:pt idx="130">
                  <c:v>9.7650000000000006</c:v>
                </c:pt>
                <c:pt idx="131">
                  <c:v>9.8170000000000002</c:v>
                </c:pt>
                <c:pt idx="132">
                  <c:v>9.8650000000000002</c:v>
                </c:pt>
                <c:pt idx="133">
                  <c:v>9.9640000000000004</c:v>
                </c:pt>
                <c:pt idx="134">
                  <c:v>10.014000000000001</c:v>
                </c:pt>
                <c:pt idx="135">
                  <c:v>10.062000000000001</c:v>
                </c:pt>
                <c:pt idx="136">
                  <c:v>10.113</c:v>
                </c:pt>
                <c:pt idx="137">
                  <c:v>10.165000000000001</c:v>
                </c:pt>
                <c:pt idx="138">
                  <c:v>10.210000000000003</c:v>
                </c:pt>
                <c:pt idx="139">
                  <c:v>10.266999999999999</c:v>
                </c:pt>
                <c:pt idx="140">
                  <c:v>10.317</c:v>
                </c:pt>
                <c:pt idx="141">
                  <c:v>10.365</c:v>
                </c:pt>
                <c:pt idx="142">
                  <c:v>10.415000000000001</c:v>
                </c:pt>
                <c:pt idx="143">
                  <c:v>10.464</c:v>
                </c:pt>
                <c:pt idx="144">
                  <c:v>10.516</c:v>
                </c:pt>
                <c:pt idx="145">
                  <c:v>10.569000000000001</c:v>
                </c:pt>
                <c:pt idx="146">
                  <c:v>10.615</c:v>
                </c:pt>
                <c:pt idx="147">
                  <c:v>10.726000000000001</c:v>
                </c:pt>
                <c:pt idx="148">
                  <c:v>10.764000000000003</c:v>
                </c:pt>
                <c:pt idx="149">
                  <c:v>10.814000000000002</c:v>
                </c:pt>
                <c:pt idx="150">
                  <c:v>10.866</c:v>
                </c:pt>
                <c:pt idx="151">
                  <c:v>10.915000000000001</c:v>
                </c:pt>
                <c:pt idx="152">
                  <c:v>10.964</c:v>
                </c:pt>
                <c:pt idx="153">
                  <c:v>11.01</c:v>
                </c:pt>
                <c:pt idx="154">
                  <c:v>11.062999999999999</c:v>
                </c:pt>
                <c:pt idx="155">
                  <c:v>11.110000000000001</c:v>
                </c:pt>
                <c:pt idx="156">
                  <c:v>11.162999999999998</c:v>
                </c:pt>
                <c:pt idx="157">
                  <c:v>11.212000000000002</c:v>
                </c:pt>
                <c:pt idx="158">
                  <c:v>11.263</c:v>
                </c:pt>
                <c:pt idx="159">
                  <c:v>11.315999999999999</c:v>
                </c:pt>
                <c:pt idx="160">
                  <c:v>11.367000000000003</c:v>
                </c:pt>
                <c:pt idx="161">
                  <c:v>11.367000000000003</c:v>
                </c:pt>
                <c:pt idx="162">
                  <c:v>11.441000000000001</c:v>
                </c:pt>
                <c:pt idx="163">
                  <c:v>11.491000000000001</c:v>
                </c:pt>
                <c:pt idx="164">
                  <c:v>11.542000000000003</c:v>
                </c:pt>
                <c:pt idx="165">
                  <c:v>11.590000000000003</c:v>
                </c:pt>
                <c:pt idx="166">
                  <c:v>11.647000000000002</c:v>
                </c:pt>
                <c:pt idx="167">
                  <c:v>11.693000000000001</c:v>
                </c:pt>
                <c:pt idx="168">
                  <c:v>11.742000000000003</c:v>
                </c:pt>
                <c:pt idx="169">
                  <c:v>11.793000000000003</c:v>
                </c:pt>
              </c:numCache>
            </c:numRef>
          </c:xVal>
          <c:yVal>
            <c:numRef>
              <c:f>Histidine!$E$2:$E$171</c:f>
              <c:numCache>
                <c:formatCode>General</c:formatCode>
                <c:ptCount val="170"/>
                <c:pt idx="0">
                  <c:v>1.27</c:v>
                </c:pt>
                <c:pt idx="1">
                  <c:v>1.28</c:v>
                </c:pt>
                <c:pt idx="2">
                  <c:v>1.28</c:v>
                </c:pt>
                <c:pt idx="3">
                  <c:v>1.29</c:v>
                </c:pt>
                <c:pt idx="4">
                  <c:v>1.29</c:v>
                </c:pt>
                <c:pt idx="5">
                  <c:v>1.29</c:v>
                </c:pt>
                <c:pt idx="6">
                  <c:v>1.29</c:v>
                </c:pt>
                <c:pt idx="7" formatCode="0.00">
                  <c:v>1.3</c:v>
                </c:pt>
                <c:pt idx="8" formatCode="0.00">
                  <c:v>1.3</c:v>
                </c:pt>
                <c:pt idx="9">
                  <c:v>1.31</c:v>
                </c:pt>
                <c:pt idx="10">
                  <c:v>1.31</c:v>
                </c:pt>
                <c:pt idx="11">
                  <c:v>1.32</c:v>
                </c:pt>
                <c:pt idx="12">
                  <c:v>1.32</c:v>
                </c:pt>
                <c:pt idx="13">
                  <c:v>1.33</c:v>
                </c:pt>
                <c:pt idx="14">
                  <c:v>1.34</c:v>
                </c:pt>
                <c:pt idx="15">
                  <c:v>1.34</c:v>
                </c:pt>
                <c:pt idx="16">
                  <c:v>1.35</c:v>
                </c:pt>
                <c:pt idx="17">
                  <c:v>1.35</c:v>
                </c:pt>
                <c:pt idx="18">
                  <c:v>1.36</c:v>
                </c:pt>
                <c:pt idx="19">
                  <c:v>1.37</c:v>
                </c:pt>
                <c:pt idx="20">
                  <c:v>1.38</c:v>
                </c:pt>
                <c:pt idx="21">
                  <c:v>1.38</c:v>
                </c:pt>
                <c:pt idx="22">
                  <c:v>1.39</c:v>
                </c:pt>
                <c:pt idx="23" formatCode="0.00">
                  <c:v>1.4</c:v>
                </c:pt>
                <c:pt idx="24" formatCode="0.00">
                  <c:v>1.4</c:v>
                </c:pt>
                <c:pt idx="25" formatCode="0.00">
                  <c:v>1.41</c:v>
                </c:pt>
                <c:pt idx="26" formatCode="0.00">
                  <c:v>1.41</c:v>
                </c:pt>
                <c:pt idx="27" formatCode="0.00">
                  <c:v>1.42</c:v>
                </c:pt>
                <c:pt idx="28" formatCode="0.00">
                  <c:v>1.43</c:v>
                </c:pt>
                <c:pt idx="29" formatCode="0.00">
                  <c:v>1.43</c:v>
                </c:pt>
                <c:pt idx="30" formatCode="0.00">
                  <c:v>1.43</c:v>
                </c:pt>
                <c:pt idx="31" formatCode="0.00">
                  <c:v>1.44</c:v>
                </c:pt>
                <c:pt idx="32" formatCode="0.00">
                  <c:v>1.44</c:v>
                </c:pt>
                <c:pt idx="33" formatCode="0.00">
                  <c:v>1.44</c:v>
                </c:pt>
                <c:pt idx="34" formatCode="0.00">
                  <c:v>1.45</c:v>
                </c:pt>
                <c:pt idx="35" formatCode="0.00">
                  <c:v>1.45</c:v>
                </c:pt>
                <c:pt idx="36" formatCode="0.00">
                  <c:v>1.46</c:v>
                </c:pt>
                <c:pt idx="37" formatCode="0.00">
                  <c:v>1.46</c:v>
                </c:pt>
                <c:pt idx="38" formatCode="0.00">
                  <c:v>1.46</c:v>
                </c:pt>
                <c:pt idx="39" formatCode="0.00">
                  <c:v>1.47</c:v>
                </c:pt>
                <c:pt idx="40" formatCode="0.00">
                  <c:v>1.47</c:v>
                </c:pt>
                <c:pt idx="41" formatCode="0.00">
                  <c:v>1.47</c:v>
                </c:pt>
                <c:pt idx="42" formatCode="0.00">
                  <c:v>1.47</c:v>
                </c:pt>
                <c:pt idx="43" formatCode="0.00">
                  <c:v>1.48</c:v>
                </c:pt>
                <c:pt idx="44" formatCode="0.00">
                  <c:v>1.48</c:v>
                </c:pt>
                <c:pt idx="45" formatCode="0.00">
                  <c:v>1.48</c:v>
                </c:pt>
                <c:pt idx="46" formatCode="0.00">
                  <c:v>1.49</c:v>
                </c:pt>
                <c:pt idx="47" formatCode="0.00">
                  <c:v>1.49</c:v>
                </c:pt>
                <c:pt idx="48" formatCode="0.00">
                  <c:v>1.49</c:v>
                </c:pt>
                <c:pt idx="49" formatCode="0.00">
                  <c:v>1.5</c:v>
                </c:pt>
                <c:pt idx="50" formatCode="0.00">
                  <c:v>1.5</c:v>
                </c:pt>
                <c:pt idx="51" formatCode="0.00">
                  <c:v>1.5</c:v>
                </c:pt>
                <c:pt idx="52" formatCode="0.00">
                  <c:v>1.5</c:v>
                </c:pt>
                <c:pt idx="53" formatCode="0.00">
                  <c:v>1.51</c:v>
                </c:pt>
                <c:pt idx="54" formatCode="0.00">
                  <c:v>1.51</c:v>
                </c:pt>
                <c:pt idx="55" formatCode="0.00">
                  <c:v>1.51</c:v>
                </c:pt>
                <c:pt idx="56" formatCode="0.00">
                  <c:v>1.52</c:v>
                </c:pt>
                <c:pt idx="57" formatCode="0.00">
                  <c:v>1.53</c:v>
                </c:pt>
                <c:pt idx="58" formatCode="0.00">
                  <c:v>1.53</c:v>
                </c:pt>
                <c:pt idx="59" formatCode="0.00">
                  <c:v>1.54</c:v>
                </c:pt>
                <c:pt idx="60" formatCode="0.00">
                  <c:v>1.54</c:v>
                </c:pt>
                <c:pt idx="61" formatCode="0.00">
                  <c:v>1.54</c:v>
                </c:pt>
                <c:pt idx="62" formatCode="0.00">
                  <c:v>1.55</c:v>
                </c:pt>
                <c:pt idx="63" formatCode="0.00">
                  <c:v>1.55</c:v>
                </c:pt>
                <c:pt idx="64" formatCode="0.00">
                  <c:v>1.55</c:v>
                </c:pt>
                <c:pt idx="65" formatCode="0.00">
                  <c:v>1.56</c:v>
                </c:pt>
                <c:pt idx="66" formatCode="0.00">
                  <c:v>1.56</c:v>
                </c:pt>
                <c:pt idx="67" formatCode="0.00">
                  <c:v>1.56</c:v>
                </c:pt>
                <c:pt idx="68" formatCode="0.00">
                  <c:v>1.57</c:v>
                </c:pt>
                <c:pt idx="69" formatCode="0.00">
                  <c:v>1.57</c:v>
                </c:pt>
                <c:pt idx="70" formatCode="0.00">
                  <c:v>1.57</c:v>
                </c:pt>
                <c:pt idx="71" formatCode="0.00">
                  <c:v>1.58</c:v>
                </c:pt>
                <c:pt idx="72" formatCode="0.00">
                  <c:v>1.58</c:v>
                </c:pt>
                <c:pt idx="73" formatCode="0.00">
                  <c:v>1.58</c:v>
                </c:pt>
                <c:pt idx="74" formatCode="0.00">
                  <c:v>1.59</c:v>
                </c:pt>
                <c:pt idx="75" formatCode="0.00">
                  <c:v>1.59</c:v>
                </c:pt>
                <c:pt idx="76" formatCode="0.00">
                  <c:v>1.59</c:v>
                </c:pt>
                <c:pt idx="77" formatCode="0.00">
                  <c:v>1.59</c:v>
                </c:pt>
                <c:pt idx="78" formatCode="0.00">
                  <c:v>1.59</c:v>
                </c:pt>
                <c:pt idx="79" formatCode="0.00">
                  <c:v>1.6</c:v>
                </c:pt>
                <c:pt idx="80" formatCode="0.00">
                  <c:v>1.6</c:v>
                </c:pt>
                <c:pt idx="81" formatCode="0.00">
                  <c:v>1.61</c:v>
                </c:pt>
                <c:pt idx="82" formatCode="0.00">
                  <c:v>1.61</c:v>
                </c:pt>
                <c:pt idx="83" formatCode="0.00">
                  <c:v>1.62</c:v>
                </c:pt>
                <c:pt idx="84" formatCode="0.00">
                  <c:v>1.62</c:v>
                </c:pt>
                <c:pt idx="85" formatCode="0.00">
                  <c:v>1.63</c:v>
                </c:pt>
                <c:pt idx="86" formatCode="0.00">
                  <c:v>1.64</c:v>
                </c:pt>
                <c:pt idx="87" formatCode="0.00">
                  <c:v>1.64</c:v>
                </c:pt>
                <c:pt idx="88" formatCode="0.00">
                  <c:v>1.85</c:v>
                </c:pt>
                <c:pt idx="89" formatCode="0.00">
                  <c:v>1.85</c:v>
                </c:pt>
                <c:pt idx="90" formatCode="0.00">
                  <c:v>1.87</c:v>
                </c:pt>
                <c:pt idx="91" formatCode="0.00">
                  <c:v>1.88</c:v>
                </c:pt>
                <c:pt idx="92" formatCode="0.00">
                  <c:v>1.9</c:v>
                </c:pt>
                <c:pt idx="93" formatCode="0.00">
                  <c:v>1.91</c:v>
                </c:pt>
                <c:pt idx="94" formatCode="0.00">
                  <c:v>1.93</c:v>
                </c:pt>
                <c:pt idx="95" formatCode="0.00">
                  <c:v>1.95</c:v>
                </c:pt>
                <c:pt idx="96" formatCode="0.00">
                  <c:v>1.97</c:v>
                </c:pt>
                <c:pt idx="97" formatCode="0.00">
                  <c:v>1.99</c:v>
                </c:pt>
                <c:pt idx="98" formatCode="0.00">
                  <c:v>2.0099999999999998</c:v>
                </c:pt>
                <c:pt idx="99" formatCode="0.00">
                  <c:v>2.0299999999999998</c:v>
                </c:pt>
                <c:pt idx="100" formatCode="0.00">
                  <c:v>2.0499999999999998</c:v>
                </c:pt>
                <c:pt idx="101" formatCode="0.00">
                  <c:v>2.0699999999999998</c:v>
                </c:pt>
                <c:pt idx="102" formatCode="0.00">
                  <c:v>2.1</c:v>
                </c:pt>
                <c:pt idx="103" formatCode="0.00">
                  <c:v>2.12</c:v>
                </c:pt>
                <c:pt idx="104" formatCode="0.00">
                  <c:v>2.14</c:v>
                </c:pt>
                <c:pt idx="105" formatCode="0.00">
                  <c:v>2.17</c:v>
                </c:pt>
                <c:pt idx="106" formatCode="0.00">
                  <c:v>2.2000000000000002</c:v>
                </c:pt>
                <c:pt idx="107" formatCode="0.00">
                  <c:v>2.2400000000000002</c:v>
                </c:pt>
                <c:pt idx="108" formatCode="0.00">
                  <c:v>2.2599999999999998</c:v>
                </c:pt>
                <c:pt idx="109" formatCode="0.00">
                  <c:v>2.29</c:v>
                </c:pt>
                <c:pt idx="110" formatCode="0.00">
                  <c:v>2.33</c:v>
                </c:pt>
                <c:pt idx="111" formatCode="0.00">
                  <c:v>2.37</c:v>
                </c:pt>
                <c:pt idx="112" formatCode="0.00">
                  <c:v>2.41</c:v>
                </c:pt>
                <c:pt idx="113" formatCode="0.00">
                  <c:v>2.46</c:v>
                </c:pt>
                <c:pt idx="114" formatCode="0.00">
                  <c:v>2.5</c:v>
                </c:pt>
                <c:pt idx="115" formatCode="0.00">
                  <c:v>2.56</c:v>
                </c:pt>
                <c:pt idx="116" formatCode="0.00">
                  <c:v>2.64</c:v>
                </c:pt>
                <c:pt idx="117" formatCode="0.00">
                  <c:v>2.7</c:v>
                </c:pt>
                <c:pt idx="118" formatCode="0.00">
                  <c:v>2.79</c:v>
                </c:pt>
                <c:pt idx="119" formatCode="0.00">
                  <c:v>2.9</c:v>
                </c:pt>
                <c:pt idx="120" formatCode="0.00">
                  <c:v>2.97</c:v>
                </c:pt>
                <c:pt idx="121" formatCode="0.00">
                  <c:v>3.05</c:v>
                </c:pt>
                <c:pt idx="122" formatCode="0.00">
                  <c:v>3.13</c:v>
                </c:pt>
                <c:pt idx="123" formatCode="0.00">
                  <c:v>3.27</c:v>
                </c:pt>
                <c:pt idx="124" formatCode="0.00">
                  <c:v>3.42</c:v>
                </c:pt>
                <c:pt idx="125" formatCode="0.00">
                  <c:v>3.67</c:v>
                </c:pt>
                <c:pt idx="126" formatCode="0.00">
                  <c:v>4.09</c:v>
                </c:pt>
                <c:pt idx="127" formatCode="0.00">
                  <c:v>5.17</c:v>
                </c:pt>
                <c:pt idx="128" formatCode="0.00">
                  <c:v>5.36</c:v>
                </c:pt>
                <c:pt idx="129" formatCode="0.00">
                  <c:v>5.66</c:v>
                </c:pt>
                <c:pt idx="130" formatCode="0.00">
                  <c:v>5.7</c:v>
                </c:pt>
                <c:pt idx="131" formatCode="0.00">
                  <c:v>5.82</c:v>
                </c:pt>
                <c:pt idx="132" formatCode="0.00">
                  <c:v>5.91</c:v>
                </c:pt>
                <c:pt idx="133" formatCode="0.00">
                  <c:v>6.07</c:v>
                </c:pt>
                <c:pt idx="134" formatCode="0.00">
                  <c:v>6.16</c:v>
                </c:pt>
                <c:pt idx="135" formatCode="0.00">
                  <c:v>6.24</c:v>
                </c:pt>
                <c:pt idx="136" formatCode="0.00">
                  <c:v>6.32</c:v>
                </c:pt>
                <c:pt idx="137" formatCode="0.00">
                  <c:v>6.43</c:v>
                </c:pt>
                <c:pt idx="138" formatCode="0.00">
                  <c:v>6.53</c:v>
                </c:pt>
                <c:pt idx="139" formatCode="0.00">
                  <c:v>6.66</c:v>
                </c:pt>
                <c:pt idx="140" formatCode="0.00">
                  <c:v>6.8</c:v>
                </c:pt>
                <c:pt idx="141" formatCode="0.00">
                  <c:v>6.93</c:v>
                </c:pt>
                <c:pt idx="142" formatCode="0.00">
                  <c:v>7.18</c:v>
                </c:pt>
                <c:pt idx="143" formatCode="0.00">
                  <c:v>7.51</c:v>
                </c:pt>
                <c:pt idx="144" formatCode="0.00">
                  <c:v>7.88</c:v>
                </c:pt>
                <c:pt idx="145" formatCode="0.00">
                  <c:v>8.2200000000000006</c:v>
                </c:pt>
                <c:pt idx="146" formatCode="0.00">
                  <c:v>8.57</c:v>
                </c:pt>
                <c:pt idx="147" formatCode="0.00">
                  <c:v>8.7200000000000006</c:v>
                </c:pt>
                <c:pt idx="148" formatCode="0.00">
                  <c:v>8.7799999999999994</c:v>
                </c:pt>
                <c:pt idx="149" formatCode="0.00">
                  <c:v>8.8699999999999992</c:v>
                </c:pt>
                <c:pt idx="150" formatCode="0.00">
                  <c:v>8.99</c:v>
                </c:pt>
                <c:pt idx="151" formatCode="0.00">
                  <c:v>9.0500000000000007</c:v>
                </c:pt>
                <c:pt idx="152" formatCode="0.00">
                  <c:v>9.15</c:v>
                </c:pt>
                <c:pt idx="153" formatCode="0.00">
                  <c:v>9.23</c:v>
                </c:pt>
                <c:pt idx="154" formatCode="0.00">
                  <c:v>9.31</c:v>
                </c:pt>
                <c:pt idx="155" formatCode="0.00">
                  <c:v>9.39</c:v>
                </c:pt>
                <c:pt idx="156" formatCode="0.00">
                  <c:v>9.48</c:v>
                </c:pt>
                <c:pt idx="157" formatCode="0.00">
                  <c:v>9.59</c:v>
                </c:pt>
                <c:pt idx="158" formatCode="0.00">
                  <c:v>9.69</c:v>
                </c:pt>
                <c:pt idx="159" formatCode="0.00">
                  <c:v>9.81</c:v>
                </c:pt>
                <c:pt idx="160" formatCode="0.00">
                  <c:v>9.93</c:v>
                </c:pt>
                <c:pt idx="161" formatCode="0.00">
                  <c:v>9.92</c:v>
                </c:pt>
                <c:pt idx="162" formatCode="0.00">
                  <c:v>10.1</c:v>
                </c:pt>
                <c:pt idx="163" formatCode="0.00">
                  <c:v>10.26</c:v>
                </c:pt>
                <c:pt idx="164" formatCode="0.00">
                  <c:v>10.45</c:v>
                </c:pt>
                <c:pt idx="165" formatCode="0.00">
                  <c:v>10.6</c:v>
                </c:pt>
                <c:pt idx="166" formatCode="0.00">
                  <c:v>10.74</c:v>
                </c:pt>
                <c:pt idx="167" formatCode="0.00">
                  <c:v>10.81</c:v>
                </c:pt>
                <c:pt idx="168" formatCode="0.00">
                  <c:v>10.91</c:v>
                </c:pt>
                <c:pt idx="169" formatCode="0.0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BC-9347-AB3F-51659B359694}"/>
            </c:ext>
          </c:extLst>
        </c:ser>
        <c:ser>
          <c:idx val="2"/>
          <c:order val="2"/>
          <c:tx>
            <c:v>Half-eq 1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rnd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Histidine!$R$10</c:f>
              <c:numCache>
                <c:formatCode>General</c:formatCode>
                <c:ptCount val="1"/>
                <c:pt idx="0">
                  <c:v>8.0180000000000007</c:v>
                </c:pt>
              </c:numCache>
            </c:numRef>
          </c:xVal>
          <c:yVal>
            <c:numRef>
              <c:f>Histidine!$S$10</c:f>
              <c:numCache>
                <c:formatCode>General</c:formatCode>
                <c:ptCount val="1"/>
                <c:pt idx="0">
                  <c:v>2.2599999999999998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3E-9644-AAC7-5376F719064C}"/>
            </c:ext>
          </c:extLst>
        </c:ser>
        <c:ser>
          <c:idx val="3"/>
          <c:order val="3"/>
          <c:tx>
            <c:v>EQ2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 cap="flat" cmpd="sng" algn="ctr">
                <a:solidFill>
                  <a:srgbClr val="7030A0"/>
                </a:solidFill>
                <a:round/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rnd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Histidine!$R$15</c:f>
              <c:numCache>
                <c:formatCode>General</c:formatCode>
                <c:ptCount val="1"/>
                <c:pt idx="0">
                  <c:v>9.5039999999999996</c:v>
                </c:pt>
              </c:numCache>
            </c:numRef>
          </c:xVal>
          <c:yVal>
            <c:numRef>
              <c:f>Histidine!$S$15</c:f>
              <c:numCache>
                <c:formatCode>General</c:formatCode>
                <c:ptCount val="1"/>
                <c:pt idx="0">
                  <c:v>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A4-314A-BC8C-3796098B12EE}"/>
            </c:ext>
          </c:extLst>
        </c:ser>
        <c:ser>
          <c:idx val="4"/>
          <c:order val="4"/>
          <c:tx>
            <c:v>Half-eq 2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 cap="flat" cmpd="sng" algn="ctr">
                  <a:noFill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F63-41D6-AD7C-577CC4297998}"/>
              </c:ext>
            </c:extLst>
          </c:dPt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rnd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Histidine!$R$20</c:f>
              <c:numCache>
                <c:formatCode>General</c:formatCode>
                <c:ptCount val="1"/>
                <c:pt idx="0">
                  <c:v>9.0139999999999993</c:v>
                </c:pt>
              </c:numCache>
            </c:numRef>
          </c:xVal>
          <c:yVal>
            <c:numRef>
              <c:f>Histidine!$S$20</c:f>
              <c:numCache>
                <c:formatCode>General</c:formatCode>
                <c:ptCount val="1"/>
                <c:pt idx="0">
                  <c:v>2.79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A4-314A-BC8C-3796098B12EE}"/>
            </c:ext>
          </c:extLst>
        </c:ser>
        <c:ser>
          <c:idx val="6"/>
          <c:order val="6"/>
          <c:tx>
            <c:v>Half-eq 3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 cap="flat" cmpd="sng" algn="ctr">
                <a:noFill/>
                <a:round/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rnd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Histidine!$R$30</c:f>
              <c:numCache>
                <c:formatCode>General</c:formatCode>
                <c:ptCount val="1"/>
                <c:pt idx="0">
                  <c:v>10.013999999999999</c:v>
                </c:pt>
              </c:numCache>
            </c:numRef>
          </c:xVal>
          <c:yVal>
            <c:numRef>
              <c:f>Histidine!$S$30</c:f>
              <c:numCache>
                <c:formatCode>General</c:formatCode>
                <c:ptCount val="1"/>
                <c:pt idx="0">
                  <c:v>6.16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A4-314A-BC8C-3796098B1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164368"/>
        <c:axId val="1372661279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EQ1</c:v>
                </c:tx>
                <c:spPr>
                  <a:ln w="25400" cap="flat" cmpd="sng" algn="ctr">
                    <a:noFill/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2"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95000"/>
                        </a:schemeClr>
                      </a:solidFill>
                      <a:round/>
                    </a:ln>
                    <a:effectLst/>
                  </c:spPr>
                </c:marker>
                <c:trendline>
                  <c:spPr>
                    <a:ln w="9525" cap="rnd">
                      <a:solidFill>
                        <a:schemeClr val="accent2"/>
                      </a:solidFill>
                    </a:ln>
                    <a:effectLst/>
                  </c:spPr>
                  <c:trendlineType val="linear"/>
                  <c:dispRSqr val="0"/>
                  <c:dispEq val="0"/>
                </c:trendline>
                <c:errBars>
                  <c:errDir val="y"/>
                  <c:errBarType val="minus"/>
                  <c:errValType val="percentage"/>
                  <c:noEndCap val="0"/>
                  <c:val val="100"/>
                  <c:spPr>
                    <a:noFill/>
                    <a:ln w="9525" cap="rnd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>
                      <c:ext uri="{02D57815-91ED-43cb-92C2-25804820EDAC}">
                        <c15:formulaRef>
                          <c15:sqref>Histidine!$R$5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8.5169999999999995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Histidine!$S$5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2.46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D3E-9644-AAC7-5376F719064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EQ3</c:v>
                </c:tx>
                <c:spPr>
                  <a:ln w="25400" cap="flat" cmpd="sng" algn="ctr">
                    <a:noFill/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6"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6"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6"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6">
                          <a:shade val="95000"/>
                        </a:schemeClr>
                      </a:solidFill>
                      <a:round/>
                    </a:ln>
                    <a:effectLst/>
                  </c:spPr>
                </c:marker>
                <c:errBars>
                  <c:errDir val="x"/>
                  <c:errBarType val="both"/>
                  <c:errValType val="percentage"/>
                  <c:noEndCap val="0"/>
                  <c:val val="0"/>
                  <c:spPr>
                    <a:noFill/>
                    <a:ln w="9525" cap="rnd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errBars>
                  <c:errDir val="y"/>
                  <c:errBarType val="minus"/>
                  <c:errValType val="percentage"/>
                  <c:noEndCap val="0"/>
                  <c:val val="100"/>
                  <c:spPr>
                    <a:noFill/>
                    <a:ln w="9525" cap="rnd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Histidine!$R$25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10.516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Histidine!$S$25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7.88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ACA4-314A-BC8C-3796098B12EE}"/>
                  </c:ext>
                </c:extLst>
              </c15:ser>
            </c15:filteredScatterSeries>
          </c:ext>
        </c:extLst>
      </c:scatterChart>
      <c:valAx>
        <c:axId val="73016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Equivalents Added of NaOH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661279"/>
        <c:crosses val="autoZero"/>
        <c:crossBetween val="midCat"/>
      </c:valAx>
      <c:valAx>
        <c:axId val="13726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64368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Histidine Titration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 VS Volume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'Histidine - Volume'!$D$2:$D$171</c:f>
              <c:numCache>
                <c:formatCode>General</c:formatCode>
                <c:ptCount val="170"/>
                <c:pt idx="0">
                  <c:v>0</c:v>
                </c:pt>
                <c:pt idx="1">
                  <c:v>0.3199999999999994</c:v>
                </c:pt>
                <c:pt idx="2">
                  <c:v>1.3899999999999997</c:v>
                </c:pt>
                <c:pt idx="3">
                  <c:v>1.9299999999999988</c:v>
                </c:pt>
                <c:pt idx="4">
                  <c:v>2.3999999999999995</c:v>
                </c:pt>
                <c:pt idx="5">
                  <c:v>2.88</c:v>
                </c:pt>
                <c:pt idx="6">
                  <c:v>3.339999999999999</c:v>
                </c:pt>
                <c:pt idx="7">
                  <c:v>3.9899999999999993</c:v>
                </c:pt>
                <c:pt idx="8">
                  <c:v>4.4400000000000004</c:v>
                </c:pt>
                <c:pt idx="9">
                  <c:v>4.839999999999999</c:v>
                </c:pt>
                <c:pt idx="10">
                  <c:v>5.39</c:v>
                </c:pt>
                <c:pt idx="11">
                  <c:v>5.9099999999999993</c:v>
                </c:pt>
                <c:pt idx="12">
                  <c:v>6.4099999999999993</c:v>
                </c:pt>
                <c:pt idx="13">
                  <c:v>6.94</c:v>
                </c:pt>
                <c:pt idx="14">
                  <c:v>7.3999999999999995</c:v>
                </c:pt>
                <c:pt idx="15">
                  <c:v>7.87</c:v>
                </c:pt>
                <c:pt idx="16">
                  <c:v>8.34</c:v>
                </c:pt>
                <c:pt idx="17">
                  <c:v>8.8999999999999986</c:v>
                </c:pt>
                <c:pt idx="18">
                  <c:v>9.43</c:v>
                </c:pt>
                <c:pt idx="19">
                  <c:v>9.89</c:v>
                </c:pt>
                <c:pt idx="20">
                  <c:v>10.379999999999999</c:v>
                </c:pt>
                <c:pt idx="21">
                  <c:v>10.93</c:v>
                </c:pt>
                <c:pt idx="22">
                  <c:v>11.400000000000002</c:v>
                </c:pt>
                <c:pt idx="23">
                  <c:v>11.89</c:v>
                </c:pt>
                <c:pt idx="24">
                  <c:v>12.370000000000001</c:v>
                </c:pt>
                <c:pt idx="25" formatCode="0.00">
                  <c:v>12.870000000000001</c:v>
                </c:pt>
                <c:pt idx="26" formatCode="0.00">
                  <c:v>13.36</c:v>
                </c:pt>
                <c:pt idx="27" formatCode="0.00">
                  <c:v>18.93</c:v>
                </c:pt>
                <c:pt idx="28" formatCode="0.00">
                  <c:v>14.39</c:v>
                </c:pt>
                <c:pt idx="29" formatCode="0.00">
                  <c:v>14.89</c:v>
                </c:pt>
                <c:pt idx="30" formatCode="0.00">
                  <c:v>15.310000000000002</c:v>
                </c:pt>
                <c:pt idx="31" formatCode="0.00">
                  <c:v>15.940000000000001</c:v>
                </c:pt>
                <c:pt idx="32" formatCode="0.00">
                  <c:v>16.36</c:v>
                </c:pt>
                <c:pt idx="33" formatCode="0.00">
                  <c:v>16.900000000000002</c:v>
                </c:pt>
                <c:pt idx="34" formatCode="0.00">
                  <c:v>17.38</c:v>
                </c:pt>
                <c:pt idx="35" formatCode="0.00">
                  <c:v>17.88</c:v>
                </c:pt>
                <c:pt idx="36" formatCode="0.00">
                  <c:v>18.420000000000002</c:v>
                </c:pt>
                <c:pt idx="37" formatCode="0.00">
                  <c:v>18.900000000000002</c:v>
                </c:pt>
                <c:pt idx="38" formatCode="0.00">
                  <c:v>19.440000000000001</c:v>
                </c:pt>
                <c:pt idx="39" formatCode="0.00">
                  <c:v>19.91</c:v>
                </c:pt>
                <c:pt idx="40" formatCode="0.00">
                  <c:v>20.39</c:v>
                </c:pt>
                <c:pt idx="41" formatCode="0.00">
                  <c:v>20.900000000000002</c:v>
                </c:pt>
                <c:pt idx="42" formatCode="0.00">
                  <c:v>21.44</c:v>
                </c:pt>
                <c:pt idx="43" formatCode="0.00">
                  <c:v>21.91</c:v>
                </c:pt>
                <c:pt idx="44" formatCode="0.00">
                  <c:v>22.42</c:v>
                </c:pt>
                <c:pt idx="45" formatCode="0.00">
                  <c:v>22.89</c:v>
                </c:pt>
                <c:pt idx="46" formatCode="0.00">
                  <c:v>23.400000000000002</c:v>
                </c:pt>
                <c:pt idx="47" formatCode="0.00">
                  <c:v>23.900000000000002</c:v>
                </c:pt>
                <c:pt idx="48" formatCode="0.00">
                  <c:v>24.41</c:v>
                </c:pt>
                <c:pt idx="49" formatCode="0.00">
                  <c:v>24.89</c:v>
                </c:pt>
                <c:pt idx="50" formatCode="0.00">
                  <c:v>25.4</c:v>
                </c:pt>
                <c:pt idx="51" formatCode="0.00">
                  <c:v>25.869999999999997</c:v>
                </c:pt>
                <c:pt idx="52" formatCode="0.00">
                  <c:v>26.4</c:v>
                </c:pt>
                <c:pt idx="53" formatCode="0.00">
                  <c:v>26.89</c:v>
                </c:pt>
                <c:pt idx="54" formatCode="0.00">
                  <c:v>27.39</c:v>
                </c:pt>
                <c:pt idx="55" formatCode="0.00">
                  <c:v>27.9</c:v>
                </c:pt>
                <c:pt idx="56" formatCode="0.00">
                  <c:v>28.4</c:v>
                </c:pt>
                <c:pt idx="57" formatCode="0.00">
                  <c:v>28.9</c:v>
                </c:pt>
                <c:pt idx="58" formatCode="0.00">
                  <c:v>29.439999999999998</c:v>
                </c:pt>
                <c:pt idx="59" formatCode="0.00">
                  <c:v>29.910000000000004</c:v>
                </c:pt>
                <c:pt idx="60" formatCode="0.00">
                  <c:v>30.439999999999998</c:v>
                </c:pt>
                <c:pt idx="61" formatCode="0.00">
                  <c:v>30.93</c:v>
                </c:pt>
                <c:pt idx="62" formatCode="0.00">
                  <c:v>31.5</c:v>
                </c:pt>
                <c:pt idx="63" formatCode="0.00">
                  <c:v>31.939999999999998</c:v>
                </c:pt>
                <c:pt idx="64" formatCode="0.00">
                  <c:v>32.39</c:v>
                </c:pt>
                <c:pt idx="65" formatCode="0.00">
                  <c:v>32.880000000000003</c:v>
                </c:pt>
                <c:pt idx="66" formatCode="0.00">
                  <c:v>33.4</c:v>
                </c:pt>
                <c:pt idx="67" formatCode="0.00">
                  <c:v>33.89</c:v>
                </c:pt>
                <c:pt idx="68" formatCode="0.00">
                  <c:v>34.380000000000003</c:v>
                </c:pt>
                <c:pt idx="69" formatCode="0.00">
                  <c:v>34.89</c:v>
                </c:pt>
                <c:pt idx="70" formatCode="0.00">
                  <c:v>35.47</c:v>
                </c:pt>
                <c:pt idx="71" formatCode="0.00">
                  <c:v>35.9</c:v>
                </c:pt>
                <c:pt idx="72" formatCode="0.00">
                  <c:v>36.31</c:v>
                </c:pt>
                <c:pt idx="73" formatCode="0.00">
                  <c:v>36.89</c:v>
                </c:pt>
                <c:pt idx="74" formatCode="0.00">
                  <c:v>37.380000000000003</c:v>
                </c:pt>
                <c:pt idx="75" formatCode="0.00">
                  <c:v>37.97</c:v>
                </c:pt>
                <c:pt idx="76" formatCode="0.00">
                  <c:v>38.269999999999996</c:v>
                </c:pt>
                <c:pt idx="77" formatCode="0.00">
                  <c:v>38.76</c:v>
                </c:pt>
                <c:pt idx="78" formatCode="0.00">
                  <c:v>39.269999999999996</c:v>
                </c:pt>
                <c:pt idx="79" formatCode="0.00">
                  <c:v>39.76</c:v>
                </c:pt>
                <c:pt idx="80" formatCode="0.00">
                  <c:v>40.269999999999996</c:v>
                </c:pt>
                <c:pt idx="81" formatCode="0.00">
                  <c:v>40.76</c:v>
                </c:pt>
                <c:pt idx="82" formatCode="0.00">
                  <c:v>41.32</c:v>
                </c:pt>
                <c:pt idx="83" formatCode="0.00">
                  <c:v>41.769999999999996</c:v>
                </c:pt>
                <c:pt idx="84" formatCode="0.00">
                  <c:v>42.26</c:v>
                </c:pt>
                <c:pt idx="85" formatCode="0.00">
                  <c:v>42.82</c:v>
                </c:pt>
                <c:pt idx="86" formatCode="0.00">
                  <c:v>43.29</c:v>
                </c:pt>
                <c:pt idx="87" formatCode="0.00">
                  <c:v>44.09</c:v>
                </c:pt>
                <c:pt idx="88" formatCode="0.00">
                  <c:v>59.319999999999993</c:v>
                </c:pt>
                <c:pt idx="89" formatCode="0.00">
                  <c:v>59.790000000000006</c:v>
                </c:pt>
                <c:pt idx="90" formatCode="0.00">
                  <c:v>60.769999999999996</c:v>
                </c:pt>
                <c:pt idx="91" formatCode="0.00">
                  <c:v>61.760000000000005</c:v>
                </c:pt>
                <c:pt idx="92" formatCode="0.00">
                  <c:v>62.819999999999993</c:v>
                </c:pt>
                <c:pt idx="93" formatCode="0.00">
                  <c:v>63.760000000000005</c:v>
                </c:pt>
                <c:pt idx="94" formatCode="0.00">
                  <c:v>64.78</c:v>
                </c:pt>
                <c:pt idx="95" formatCode="0.00">
                  <c:v>65.75</c:v>
                </c:pt>
                <c:pt idx="96" formatCode="0.00">
                  <c:v>66.77</c:v>
                </c:pt>
                <c:pt idx="97" formatCode="0.00">
                  <c:v>67.78</c:v>
                </c:pt>
                <c:pt idx="98" formatCode="0.00">
                  <c:v>68.790000000000006</c:v>
                </c:pt>
                <c:pt idx="99" formatCode="0.00">
                  <c:v>69.78</c:v>
                </c:pt>
                <c:pt idx="100" formatCode="0.00">
                  <c:v>70.75</c:v>
                </c:pt>
                <c:pt idx="101" formatCode="0.00">
                  <c:v>71.95</c:v>
                </c:pt>
                <c:pt idx="102" formatCode="0.00">
                  <c:v>74.150000000000006</c:v>
                </c:pt>
                <c:pt idx="103" formatCode="0.00">
                  <c:v>75.16</c:v>
                </c:pt>
                <c:pt idx="104" formatCode="0.00">
                  <c:v>76.13000000000001</c:v>
                </c:pt>
                <c:pt idx="105" formatCode="0.00">
                  <c:v>77.14</c:v>
                </c:pt>
                <c:pt idx="106" formatCode="0.00">
                  <c:v>78.150000000000006</c:v>
                </c:pt>
                <c:pt idx="107" formatCode="0.00">
                  <c:v>79.350000000000009</c:v>
                </c:pt>
                <c:pt idx="108" formatCode="0.00">
                  <c:v>80.180000000000007</c:v>
                </c:pt>
                <c:pt idx="109" formatCode="0.00">
                  <c:v>81.16</c:v>
                </c:pt>
                <c:pt idx="110" formatCode="0.00">
                  <c:v>82.15</c:v>
                </c:pt>
                <c:pt idx="111" formatCode="0.00">
                  <c:v>83.16</c:v>
                </c:pt>
                <c:pt idx="112" formatCode="0.00">
                  <c:v>84.15</c:v>
                </c:pt>
                <c:pt idx="113" formatCode="0.00">
                  <c:v>85.17</c:v>
                </c:pt>
                <c:pt idx="114" formatCode="0.00">
                  <c:v>86.14</c:v>
                </c:pt>
                <c:pt idx="115" formatCode="0.00">
                  <c:v>87.2</c:v>
                </c:pt>
                <c:pt idx="116" formatCode="0.00">
                  <c:v>88.26</c:v>
                </c:pt>
                <c:pt idx="117" formatCode="0.00">
                  <c:v>89.13</c:v>
                </c:pt>
                <c:pt idx="118" formatCode="0.00">
                  <c:v>90.14</c:v>
                </c:pt>
                <c:pt idx="119" formatCode="0.00">
                  <c:v>91.23</c:v>
                </c:pt>
                <c:pt idx="120" formatCode="0.00">
                  <c:v>91.69</c:v>
                </c:pt>
                <c:pt idx="121" formatCode="0.00">
                  <c:v>92.16</c:v>
                </c:pt>
                <c:pt idx="122" formatCode="0.00">
                  <c:v>92.65</c:v>
                </c:pt>
                <c:pt idx="123" formatCode="0.00">
                  <c:v>93.23</c:v>
                </c:pt>
                <c:pt idx="124" formatCode="0.00">
                  <c:v>93.67</c:v>
                </c:pt>
                <c:pt idx="125" formatCode="0.00">
                  <c:v>94.15</c:v>
                </c:pt>
                <c:pt idx="126" formatCode="0.00">
                  <c:v>95.05</c:v>
                </c:pt>
                <c:pt idx="127" formatCode="0.00">
                  <c:v>95.73</c:v>
                </c:pt>
                <c:pt idx="128" formatCode="0.00">
                  <c:v>96.23</c:v>
                </c:pt>
                <c:pt idx="129" formatCode="0.00">
                  <c:v>97.27</c:v>
                </c:pt>
                <c:pt idx="130" formatCode="0.00">
                  <c:v>97.65</c:v>
                </c:pt>
                <c:pt idx="131" formatCode="0.00">
                  <c:v>98.17</c:v>
                </c:pt>
                <c:pt idx="132" formatCode="0.00">
                  <c:v>98.65</c:v>
                </c:pt>
                <c:pt idx="133" formatCode="0.00">
                  <c:v>99.64</c:v>
                </c:pt>
                <c:pt idx="134" formatCode="0.00">
                  <c:v>100.14</c:v>
                </c:pt>
                <c:pt idx="135" formatCode="0.00">
                  <c:v>100.62</c:v>
                </c:pt>
                <c:pt idx="136" formatCode="0.00">
                  <c:v>101.13</c:v>
                </c:pt>
                <c:pt idx="137" formatCode="0.00">
                  <c:v>101.65</c:v>
                </c:pt>
                <c:pt idx="138" formatCode="0.00">
                  <c:v>102.10000000000001</c:v>
                </c:pt>
                <c:pt idx="139" formatCode="0.00">
                  <c:v>102.67</c:v>
                </c:pt>
                <c:pt idx="140" formatCode="0.00">
                  <c:v>103.17</c:v>
                </c:pt>
                <c:pt idx="141" formatCode="0.00">
                  <c:v>103.65</c:v>
                </c:pt>
                <c:pt idx="142" formatCode="0.00">
                  <c:v>104.15</c:v>
                </c:pt>
                <c:pt idx="143" formatCode="0.00">
                  <c:v>104.64000000000001</c:v>
                </c:pt>
                <c:pt idx="144" formatCode="0.00">
                  <c:v>105.16</c:v>
                </c:pt>
                <c:pt idx="145" formatCode="0.00">
                  <c:v>105.69</c:v>
                </c:pt>
                <c:pt idx="146" formatCode="0.00">
                  <c:v>106.15</c:v>
                </c:pt>
                <c:pt idx="147" formatCode="0.00">
                  <c:v>107.26</c:v>
                </c:pt>
                <c:pt idx="148" formatCode="0.00">
                  <c:v>107.64000000000001</c:v>
                </c:pt>
                <c:pt idx="149" formatCode="0.00">
                  <c:v>108.14000000000001</c:v>
                </c:pt>
                <c:pt idx="150" formatCode="0.00">
                  <c:v>108.66</c:v>
                </c:pt>
                <c:pt idx="151" formatCode="0.00">
                  <c:v>109.15</c:v>
                </c:pt>
                <c:pt idx="152" formatCode="0.00">
                  <c:v>109.64000000000001</c:v>
                </c:pt>
                <c:pt idx="153" formatCode="0.00">
                  <c:v>110.10000000000001</c:v>
                </c:pt>
                <c:pt idx="154" formatCode="0.00">
                  <c:v>110.63</c:v>
                </c:pt>
                <c:pt idx="155" formatCode="0.00">
                  <c:v>111.10000000000001</c:v>
                </c:pt>
                <c:pt idx="156" formatCode="0.00">
                  <c:v>111.63</c:v>
                </c:pt>
                <c:pt idx="157" formatCode="0.00">
                  <c:v>112.12</c:v>
                </c:pt>
                <c:pt idx="158" formatCode="0.00">
                  <c:v>112.63</c:v>
                </c:pt>
                <c:pt idx="159" formatCode="0.00">
                  <c:v>113.16</c:v>
                </c:pt>
                <c:pt idx="160" formatCode="0.00">
                  <c:v>113.67000000000002</c:v>
                </c:pt>
                <c:pt idx="161" formatCode="0.00">
                  <c:v>113.67000000000002</c:v>
                </c:pt>
                <c:pt idx="162" formatCode="0.00">
                  <c:v>114.41000000000001</c:v>
                </c:pt>
                <c:pt idx="163" formatCode="0.00">
                  <c:v>114.91000000000001</c:v>
                </c:pt>
                <c:pt idx="164" formatCode="0.00">
                  <c:v>115.42000000000002</c:v>
                </c:pt>
                <c:pt idx="165" formatCode="0.00">
                  <c:v>115.90000000000002</c:v>
                </c:pt>
                <c:pt idx="166" formatCode="0.00">
                  <c:v>116.47000000000001</c:v>
                </c:pt>
                <c:pt idx="167" formatCode="0.00">
                  <c:v>116.93000000000002</c:v>
                </c:pt>
                <c:pt idx="168" formatCode="0.00">
                  <c:v>117.42000000000002</c:v>
                </c:pt>
                <c:pt idx="169" formatCode="0.00">
                  <c:v>117.93000000000002</c:v>
                </c:pt>
              </c:numCache>
            </c:numRef>
          </c:xVal>
          <c:yVal>
            <c:numRef>
              <c:f>'Histidine - Volume'!$E$2:$E$171</c:f>
              <c:numCache>
                <c:formatCode>General</c:formatCode>
                <c:ptCount val="170"/>
                <c:pt idx="0">
                  <c:v>1.27</c:v>
                </c:pt>
                <c:pt idx="1">
                  <c:v>1.28</c:v>
                </c:pt>
                <c:pt idx="2">
                  <c:v>1.28</c:v>
                </c:pt>
                <c:pt idx="3">
                  <c:v>1.29</c:v>
                </c:pt>
                <c:pt idx="4">
                  <c:v>1.29</c:v>
                </c:pt>
                <c:pt idx="5">
                  <c:v>1.29</c:v>
                </c:pt>
                <c:pt idx="6">
                  <c:v>1.29</c:v>
                </c:pt>
                <c:pt idx="7" formatCode="0.00">
                  <c:v>1.3</c:v>
                </c:pt>
                <c:pt idx="8" formatCode="0.00">
                  <c:v>1.3</c:v>
                </c:pt>
                <c:pt idx="9">
                  <c:v>1.31</c:v>
                </c:pt>
                <c:pt idx="10">
                  <c:v>1.31</c:v>
                </c:pt>
                <c:pt idx="11">
                  <c:v>1.32</c:v>
                </c:pt>
                <c:pt idx="12">
                  <c:v>1.32</c:v>
                </c:pt>
                <c:pt idx="13">
                  <c:v>1.33</c:v>
                </c:pt>
                <c:pt idx="14">
                  <c:v>1.34</c:v>
                </c:pt>
                <c:pt idx="15">
                  <c:v>1.34</c:v>
                </c:pt>
                <c:pt idx="16">
                  <c:v>1.35</c:v>
                </c:pt>
                <c:pt idx="17">
                  <c:v>1.35</c:v>
                </c:pt>
                <c:pt idx="18">
                  <c:v>1.36</c:v>
                </c:pt>
                <c:pt idx="19">
                  <c:v>1.37</c:v>
                </c:pt>
                <c:pt idx="20">
                  <c:v>1.38</c:v>
                </c:pt>
                <c:pt idx="21">
                  <c:v>1.38</c:v>
                </c:pt>
                <c:pt idx="22">
                  <c:v>1.39</c:v>
                </c:pt>
                <c:pt idx="23" formatCode="0.00">
                  <c:v>1.4</c:v>
                </c:pt>
                <c:pt idx="24" formatCode="0.00">
                  <c:v>1.4</c:v>
                </c:pt>
                <c:pt idx="25" formatCode="0.00">
                  <c:v>1.41</c:v>
                </c:pt>
                <c:pt idx="26" formatCode="0.00">
                  <c:v>1.41</c:v>
                </c:pt>
                <c:pt idx="27" formatCode="0.00">
                  <c:v>1.42</c:v>
                </c:pt>
                <c:pt idx="28" formatCode="0.00">
                  <c:v>1.43</c:v>
                </c:pt>
                <c:pt idx="29" formatCode="0.00">
                  <c:v>1.43</c:v>
                </c:pt>
                <c:pt idx="30" formatCode="0.00">
                  <c:v>1.43</c:v>
                </c:pt>
                <c:pt idx="31" formatCode="0.00">
                  <c:v>1.44</c:v>
                </c:pt>
                <c:pt idx="32" formatCode="0.00">
                  <c:v>1.44</c:v>
                </c:pt>
                <c:pt idx="33" formatCode="0.00">
                  <c:v>1.44</c:v>
                </c:pt>
                <c:pt idx="34" formatCode="0.00">
                  <c:v>1.45</c:v>
                </c:pt>
                <c:pt idx="35" formatCode="0.00">
                  <c:v>1.45</c:v>
                </c:pt>
                <c:pt idx="36" formatCode="0.00">
                  <c:v>1.46</c:v>
                </c:pt>
                <c:pt idx="37" formatCode="0.00">
                  <c:v>1.46</c:v>
                </c:pt>
                <c:pt idx="38" formatCode="0.00">
                  <c:v>1.46</c:v>
                </c:pt>
                <c:pt idx="39" formatCode="0.00">
                  <c:v>1.47</c:v>
                </c:pt>
                <c:pt idx="40" formatCode="0.00">
                  <c:v>1.47</c:v>
                </c:pt>
                <c:pt idx="41" formatCode="0.00">
                  <c:v>1.47</c:v>
                </c:pt>
                <c:pt idx="42" formatCode="0.00">
                  <c:v>1.47</c:v>
                </c:pt>
                <c:pt idx="43" formatCode="0.00">
                  <c:v>1.48</c:v>
                </c:pt>
                <c:pt idx="44" formatCode="0.00">
                  <c:v>1.48</c:v>
                </c:pt>
                <c:pt idx="45" formatCode="0.00">
                  <c:v>1.48</c:v>
                </c:pt>
                <c:pt idx="46" formatCode="0.00">
                  <c:v>1.49</c:v>
                </c:pt>
                <c:pt idx="47" formatCode="0.00">
                  <c:v>1.49</c:v>
                </c:pt>
                <c:pt idx="48" formatCode="0.00">
                  <c:v>1.49</c:v>
                </c:pt>
                <c:pt idx="49" formatCode="0.00">
                  <c:v>1.5</c:v>
                </c:pt>
                <c:pt idx="50" formatCode="0.00">
                  <c:v>1.5</c:v>
                </c:pt>
                <c:pt idx="51" formatCode="0.00">
                  <c:v>1.5</c:v>
                </c:pt>
                <c:pt idx="52" formatCode="0.00">
                  <c:v>1.5</c:v>
                </c:pt>
                <c:pt idx="53" formatCode="0.00">
                  <c:v>1.51</c:v>
                </c:pt>
                <c:pt idx="54" formatCode="0.00">
                  <c:v>1.51</c:v>
                </c:pt>
                <c:pt idx="55" formatCode="0.00">
                  <c:v>1.51</c:v>
                </c:pt>
                <c:pt idx="56" formatCode="0.00">
                  <c:v>1.52</c:v>
                </c:pt>
                <c:pt idx="57" formatCode="0.00">
                  <c:v>1.53</c:v>
                </c:pt>
                <c:pt idx="58" formatCode="0.00">
                  <c:v>1.53</c:v>
                </c:pt>
                <c:pt idx="59" formatCode="0.00">
                  <c:v>1.54</c:v>
                </c:pt>
                <c:pt idx="60" formatCode="0.00">
                  <c:v>1.54</c:v>
                </c:pt>
                <c:pt idx="61" formatCode="0.00">
                  <c:v>1.54</c:v>
                </c:pt>
                <c:pt idx="62" formatCode="0.00">
                  <c:v>1.55</c:v>
                </c:pt>
                <c:pt idx="63" formatCode="0.00">
                  <c:v>1.55</c:v>
                </c:pt>
                <c:pt idx="64" formatCode="0.00">
                  <c:v>1.55</c:v>
                </c:pt>
                <c:pt idx="65" formatCode="0.00">
                  <c:v>1.56</c:v>
                </c:pt>
                <c:pt idx="66" formatCode="0.00">
                  <c:v>1.56</c:v>
                </c:pt>
                <c:pt idx="67" formatCode="0.00">
                  <c:v>1.56</c:v>
                </c:pt>
                <c:pt idx="68" formatCode="0.00">
                  <c:v>1.57</c:v>
                </c:pt>
                <c:pt idx="69" formatCode="0.00">
                  <c:v>1.57</c:v>
                </c:pt>
                <c:pt idx="70" formatCode="0.00">
                  <c:v>1.57</c:v>
                </c:pt>
                <c:pt idx="71" formatCode="0.00">
                  <c:v>1.58</c:v>
                </c:pt>
                <c:pt idx="72" formatCode="0.00">
                  <c:v>1.58</c:v>
                </c:pt>
                <c:pt idx="73" formatCode="0.00">
                  <c:v>1.58</c:v>
                </c:pt>
                <c:pt idx="74" formatCode="0.00">
                  <c:v>1.59</c:v>
                </c:pt>
                <c:pt idx="75" formatCode="0.00">
                  <c:v>1.59</c:v>
                </c:pt>
                <c:pt idx="76" formatCode="0.00">
                  <c:v>1.59</c:v>
                </c:pt>
                <c:pt idx="77" formatCode="0.00">
                  <c:v>1.59</c:v>
                </c:pt>
                <c:pt idx="78" formatCode="0.00">
                  <c:v>1.59</c:v>
                </c:pt>
                <c:pt idx="79" formatCode="0.00">
                  <c:v>1.6</c:v>
                </c:pt>
                <c:pt idx="80" formatCode="0.00">
                  <c:v>1.6</c:v>
                </c:pt>
                <c:pt idx="81" formatCode="0.00">
                  <c:v>1.61</c:v>
                </c:pt>
                <c:pt idx="82" formatCode="0.00">
                  <c:v>1.61</c:v>
                </c:pt>
                <c:pt idx="83" formatCode="0.00">
                  <c:v>1.62</c:v>
                </c:pt>
                <c:pt idx="84" formatCode="0.00">
                  <c:v>1.62</c:v>
                </c:pt>
                <c:pt idx="85" formatCode="0.00">
                  <c:v>1.63</c:v>
                </c:pt>
                <c:pt idx="86" formatCode="0.00">
                  <c:v>1.64</c:v>
                </c:pt>
                <c:pt idx="87" formatCode="0.00">
                  <c:v>1.64</c:v>
                </c:pt>
                <c:pt idx="88" formatCode="0.00">
                  <c:v>1.85</c:v>
                </c:pt>
                <c:pt idx="89" formatCode="0.00">
                  <c:v>1.85</c:v>
                </c:pt>
                <c:pt idx="90" formatCode="0.00">
                  <c:v>1.87</c:v>
                </c:pt>
                <c:pt idx="91" formatCode="0.00">
                  <c:v>1.88</c:v>
                </c:pt>
                <c:pt idx="92" formatCode="0.00">
                  <c:v>1.9</c:v>
                </c:pt>
                <c:pt idx="93" formatCode="0.00">
                  <c:v>1.91</c:v>
                </c:pt>
                <c:pt idx="94" formatCode="0.00">
                  <c:v>1.93</c:v>
                </c:pt>
                <c:pt idx="95" formatCode="0.00">
                  <c:v>1.95</c:v>
                </c:pt>
                <c:pt idx="96" formatCode="0.00">
                  <c:v>1.97</c:v>
                </c:pt>
                <c:pt idx="97" formatCode="0.00">
                  <c:v>1.99</c:v>
                </c:pt>
                <c:pt idx="98" formatCode="0.00">
                  <c:v>2.0099999999999998</c:v>
                </c:pt>
                <c:pt idx="99" formatCode="0.00">
                  <c:v>2.0299999999999998</c:v>
                </c:pt>
                <c:pt idx="100" formatCode="0.00">
                  <c:v>2.0499999999999998</c:v>
                </c:pt>
                <c:pt idx="101" formatCode="0.00">
                  <c:v>2.0699999999999998</c:v>
                </c:pt>
                <c:pt idx="102" formatCode="0.00">
                  <c:v>2.1</c:v>
                </c:pt>
                <c:pt idx="103" formatCode="0.00">
                  <c:v>2.12</c:v>
                </c:pt>
                <c:pt idx="104" formatCode="0.00">
                  <c:v>2.14</c:v>
                </c:pt>
                <c:pt idx="105" formatCode="0.00">
                  <c:v>2.17</c:v>
                </c:pt>
                <c:pt idx="106" formatCode="0.00">
                  <c:v>2.2000000000000002</c:v>
                </c:pt>
                <c:pt idx="107" formatCode="0.00">
                  <c:v>2.2400000000000002</c:v>
                </c:pt>
                <c:pt idx="108" formatCode="0.00">
                  <c:v>2.2599999999999998</c:v>
                </c:pt>
                <c:pt idx="109" formatCode="0.00">
                  <c:v>2.29</c:v>
                </c:pt>
                <c:pt idx="110" formatCode="0.00">
                  <c:v>2.33</c:v>
                </c:pt>
                <c:pt idx="111" formatCode="0.00">
                  <c:v>2.37</c:v>
                </c:pt>
                <c:pt idx="112" formatCode="0.00">
                  <c:v>2.41</c:v>
                </c:pt>
                <c:pt idx="113" formatCode="0.00">
                  <c:v>2.46</c:v>
                </c:pt>
                <c:pt idx="114" formatCode="0.00">
                  <c:v>2.5</c:v>
                </c:pt>
                <c:pt idx="115" formatCode="0.00">
                  <c:v>2.56</c:v>
                </c:pt>
                <c:pt idx="116" formatCode="0.00">
                  <c:v>2.64</c:v>
                </c:pt>
                <c:pt idx="117" formatCode="0.00">
                  <c:v>2.7</c:v>
                </c:pt>
                <c:pt idx="118" formatCode="0.00">
                  <c:v>2.79</c:v>
                </c:pt>
                <c:pt idx="119" formatCode="0.00">
                  <c:v>2.9</c:v>
                </c:pt>
                <c:pt idx="120" formatCode="0.00">
                  <c:v>2.97</c:v>
                </c:pt>
                <c:pt idx="121" formatCode="0.00">
                  <c:v>3.05</c:v>
                </c:pt>
                <c:pt idx="122" formatCode="0.00">
                  <c:v>3.13</c:v>
                </c:pt>
                <c:pt idx="123" formatCode="0.00">
                  <c:v>3.27</c:v>
                </c:pt>
                <c:pt idx="124" formatCode="0.00">
                  <c:v>3.42</c:v>
                </c:pt>
                <c:pt idx="125" formatCode="0.00">
                  <c:v>3.67</c:v>
                </c:pt>
                <c:pt idx="126" formatCode="0.00">
                  <c:v>4.09</c:v>
                </c:pt>
                <c:pt idx="127" formatCode="0.00">
                  <c:v>5.17</c:v>
                </c:pt>
                <c:pt idx="128" formatCode="0.00">
                  <c:v>5.36</c:v>
                </c:pt>
                <c:pt idx="129" formatCode="0.00">
                  <c:v>5.66</c:v>
                </c:pt>
                <c:pt idx="130" formatCode="0.00">
                  <c:v>5.7</c:v>
                </c:pt>
                <c:pt idx="131" formatCode="0.00">
                  <c:v>5.82</c:v>
                </c:pt>
                <c:pt idx="132" formatCode="0.00">
                  <c:v>5.91</c:v>
                </c:pt>
                <c:pt idx="133" formatCode="0.00">
                  <c:v>6.07</c:v>
                </c:pt>
                <c:pt idx="134" formatCode="0.00">
                  <c:v>6.16</c:v>
                </c:pt>
                <c:pt idx="135" formatCode="0.00">
                  <c:v>6.24</c:v>
                </c:pt>
                <c:pt idx="136" formatCode="0.00">
                  <c:v>6.32</c:v>
                </c:pt>
                <c:pt idx="137" formatCode="0.00">
                  <c:v>6.43</c:v>
                </c:pt>
                <c:pt idx="138" formatCode="0.00">
                  <c:v>6.53</c:v>
                </c:pt>
                <c:pt idx="139" formatCode="0.00">
                  <c:v>6.66</c:v>
                </c:pt>
                <c:pt idx="140" formatCode="0.00">
                  <c:v>6.8</c:v>
                </c:pt>
                <c:pt idx="141" formatCode="0.00">
                  <c:v>6.93</c:v>
                </c:pt>
                <c:pt idx="142" formatCode="0.00">
                  <c:v>7.18</c:v>
                </c:pt>
                <c:pt idx="143" formatCode="0.00">
                  <c:v>7.51</c:v>
                </c:pt>
                <c:pt idx="144" formatCode="0.00">
                  <c:v>7.88</c:v>
                </c:pt>
                <c:pt idx="145" formatCode="0.00">
                  <c:v>8.2200000000000006</c:v>
                </c:pt>
                <c:pt idx="146" formatCode="0.00">
                  <c:v>8.57</c:v>
                </c:pt>
                <c:pt idx="147" formatCode="0.00">
                  <c:v>8.7200000000000006</c:v>
                </c:pt>
                <c:pt idx="148" formatCode="0.00">
                  <c:v>8.7799999999999994</c:v>
                </c:pt>
                <c:pt idx="149" formatCode="0.00">
                  <c:v>8.8699999999999992</c:v>
                </c:pt>
                <c:pt idx="150" formatCode="0.00">
                  <c:v>8.99</c:v>
                </c:pt>
                <c:pt idx="151" formatCode="0.00">
                  <c:v>9.0500000000000007</c:v>
                </c:pt>
                <c:pt idx="152" formatCode="0.00">
                  <c:v>9.15</c:v>
                </c:pt>
                <c:pt idx="153" formatCode="0.00">
                  <c:v>9.23</c:v>
                </c:pt>
                <c:pt idx="154" formatCode="0.00">
                  <c:v>9.31</c:v>
                </c:pt>
                <c:pt idx="155" formatCode="0.00">
                  <c:v>9.39</c:v>
                </c:pt>
                <c:pt idx="156" formatCode="0.00">
                  <c:v>9.48</c:v>
                </c:pt>
                <c:pt idx="157" formatCode="0.00">
                  <c:v>9.59</c:v>
                </c:pt>
                <c:pt idx="158" formatCode="0.00">
                  <c:v>9.69</c:v>
                </c:pt>
                <c:pt idx="159" formatCode="0.00">
                  <c:v>9.81</c:v>
                </c:pt>
                <c:pt idx="160" formatCode="0.00">
                  <c:v>9.93</c:v>
                </c:pt>
                <c:pt idx="161" formatCode="0.00">
                  <c:v>9.92</c:v>
                </c:pt>
                <c:pt idx="162" formatCode="0.00">
                  <c:v>10.1</c:v>
                </c:pt>
                <c:pt idx="163" formatCode="0.00">
                  <c:v>10.26</c:v>
                </c:pt>
                <c:pt idx="164" formatCode="0.00">
                  <c:v>10.45</c:v>
                </c:pt>
                <c:pt idx="165" formatCode="0.00">
                  <c:v>10.6</c:v>
                </c:pt>
                <c:pt idx="166" formatCode="0.00">
                  <c:v>10.74</c:v>
                </c:pt>
                <c:pt idx="167" formatCode="0.00">
                  <c:v>10.81</c:v>
                </c:pt>
                <c:pt idx="168" formatCode="0.00">
                  <c:v>10.91</c:v>
                </c:pt>
                <c:pt idx="169" formatCode="0.0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2B-A449-9716-783967455EB3}"/>
            </c:ext>
          </c:extLst>
        </c:ser>
        <c:ser>
          <c:idx val="1"/>
          <c:order val="1"/>
          <c:tx>
            <c:v>EQ1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5"/>
                </a:solidFill>
                <a:prstDash val="dash"/>
                <a:round/>
              </a:ln>
              <a:effectLst/>
            </c:spPr>
          </c:errBars>
          <c:xVal>
            <c:numRef>
              <c:f>'Histidine - Volume'!$R$5</c:f>
              <c:numCache>
                <c:formatCode>General</c:formatCode>
                <c:ptCount val="1"/>
                <c:pt idx="0">
                  <c:v>85.17</c:v>
                </c:pt>
              </c:numCache>
            </c:numRef>
          </c:xVal>
          <c:yVal>
            <c:numRef>
              <c:f>'Histidine - Volume'!$S$5</c:f>
              <c:numCache>
                <c:formatCode>General</c:formatCode>
                <c:ptCount val="1"/>
                <c:pt idx="0">
                  <c:v>2.46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2B-A449-9716-783967455EB3}"/>
            </c:ext>
          </c:extLst>
        </c:ser>
        <c:ser>
          <c:idx val="2"/>
          <c:order val="2"/>
          <c:tx>
            <c:v>Half-eq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'Histidine - Volume'!$R$10</c:f>
              <c:numCache>
                <c:formatCode>General</c:formatCode>
                <c:ptCount val="1"/>
                <c:pt idx="0">
                  <c:v>80.180000000000007</c:v>
                </c:pt>
              </c:numCache>
            </c:numRef>
          </c:xVal>
          <c:yVal>
            <c:numRef>
              <c:f>'Histidine - Volume'!$S$10</c:f>
              <c:numCache>
                <c:formatCode>General</c:formatCode>
                <c:ptCount val="1"/>
                <c:pt idx="0">
                  <c:v>2.2599999999999998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2B-A449-9716-783967455EB3}"/>
            </c:ext>
          </c:extLst>
        </c:ser>
        <c:ser>
          <c:idx val="3"/>
          <c:order val="3"/>
          <c:tx>
            <c:v>EQ2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5"/>
                </a:solidFill>
                <a:prstDash val="dash"/>
                <a:round/>
              </a:ln>
              <a:effectLst/>
            </c:spPr>
          </c:errBars>
          <c:xVal>
            <c:numRef>
              <c:f>'Histidine - Volume'!$R$15</c:f>
              <c:numCache>
                <c:formatCode>General</c:formatCode>
                <c:ptCount val="1"/>
                <c:pt idx="0">
                  <c:v>95.04</c:v>
                </c:pt>
              </c:numCache>
            </c:numRef>
          </c:xVal>
          <c:yVal>
            <c:numRef>
              <c:f>'Histidine - Volume'!$S$15</c:f>
              <c:numCache>
                <c:formatCode>General</c:formatCode>
                <c:ptCount val="1"/>
                <c:pt idx="0">
                  <c:v>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2B-A449-9716-783967455EB3}"/>
            </c:ext>
          </c:extLst>
        </c:ser>
        <c:ser>
          <c:idx val="4"/>
          <c:order val="4"/>
          <c:tx>
            <c:v>Half-eq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'Histidine - Volume'!$R$20</c:f>
              <c:numCache>
                <c:formatCode>General</c:formatCode>
                <c:ptCount val="1"/>
                <c:pt idx="0">
                  <c:v>90.14</c:v>
                </c:pt>
              </c:numCache>
            </c:numRef>
          </c:xVal>
          <c:yVal>
            <c:numRef>
              <c:f>'Histidine - Volume'!$S$20</c:f>
              <c:numCache>
                <c:formatCode>General</c:formatCode>
                <c:ptCount val="1"/>
                <c:pt idx="0">
                  <c:v>2.79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2B-A449-9716-783967455EB3}"/>
            </c:ext>
          </c:extLst>
        </c:ser>
        <c:ser>
          <c:idx val="5"/>
          <c:order val="5"/>
          <c:tx>
            <c:v>EQ3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5"/>
                </a:solidFill>
                <a:prstDash val="dash"/>
                <a:round/>
              </a:ln>
              <a:effectLst/>
            </c:spPr>
          </c:errBars>
          <c:xVal>
            <c:numRef>
              <c:f>'Histidine - Volume'!$R$25</c:f>
              <c:numCache>
                <c:formatCode>General</c:formatCode>
                <c:ptCount val="1"/>
                <c:pt idx="0">
                  <c:v>105.16</c:v>
                </c:pt>
              </c:numCache>
            </c:numRef>
          </c:xVal>
          <c:yVal>
            <c:numRef>
              <c:f>'Histidine - Volume'!$S$25</c:f>
              <c:numCache>
                <c:formatCode>General</c:formatCode>
                <c:ptCount val="1"/>
                <c:pt idx="0">
                  <c:v>7.88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2B-A449-9716-783967455EB3}"/>
            </c:ext>
          </c:extLst>
        </c:ser>
        <c:ser>
          <c:idx val="6"/>
          <c:order val="6"/>
          <c:tx>
            <c:v>Half-eq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errBars>
          <c:xVal>
            <c:numRef>
              <c:f>'Histidine - Volume'!$R$30</c:f>
              <c:numCache>
                <c:formatCode>General</c:formatCode>
                <c:ptCount val="1"/>
                <c:pt idx="0">
                  <c:v>100.14</c:v>
                </c:pt>
              </c:numCache>
            </c:numRef>
          </c:xVal>
          <c:yVal>
            <c:numRef>
              <c:f>'Histidine - Volume'!$S$30</c:f>
              <c:numCache>
                <c:formatCode>General</c:formatCode>
                <c:ptCount val="1"/>
                <c:pt idx="0">
                  <c:v>6.16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02B-A449-9716-783967455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164368"/>
        <c:axId val="1372661279"/>
      </c:scatterChart>
      <c:valAx>
        <c:axId val="73016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</a:t>
                </a:r>
                <a:r>
                  <a:rPr lang="en-US" baseline="0"/>
                  <a:t> Added of NaOH (mL)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661279"/>
        <c:crosses val="autoZero"/>
        <c:crossBetween val="midCat"/>
      </c:valAx>
      <c:valAx>
        <c:axId val="13726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6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Glutamate Titration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 VS EQ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'Unknown E'!$G$2:$G$103</c:f>
              <c:numCache>
                <c:formatCode>General</c:formatCode>
                <c:ptCount val="102"/>
                <c:pt idx="0">
                  <c:v>0</c:v>
                </c:pt>
                <c:pt idx="1">
                  <c:v>4.800000000000005E-2</c:v>
                </c:pt>
                <c:pt idx="2">
                  <c:v>9.4999999999999918E-2</c:v>
                </c:pt>
                <c:pt idx="3">
                  <c:v>0.15000000000000002</c:v>
                </c:pt>
                <c:pt idx="4">
                  <c:v>0.19900000000000001</c:v>
                </c:pt>
                <c:pt idx="5">
                  <c:v>0.25100000000000011</c:v>
                </c:pt>
                <c:pt idx="6">
                  <c:v>0.2980000000000001</c:v>
                </c:pt>
                <c:pt idx="7">
                  <c:v>0.35799999999999982</c:v>
                </c:pt>
                <c:pt idx="8">
                  <c:v>0.39899999999999985</c:v>
                </c:pt>
                <c:pt idx="9">
                  <c:v>0.44999999999999996</c:v>
                </c:pt>
                <c:pt idx="10">
                  <c:v>0.49800000000000005</c:v>
                </c:pt>
                <c:pt idx="11">
                  <c:v>0.54899999999999993</c:v>
                </c:pt>
                <c:pt idx="12">
                  <c:v>0.59500000000000008</c:v>
                </c:pt>
                <c:pt idx="13">
                  <c:v>0.65100000000000025</c:v>
                </c:pt>
                <c:pt idx="14">
                  <c:v>0.70000000000000007</c:v>
                </c:pt>
                <c:pt idx="15">
                  <c:v>0.76000000000000023</c:v>
                </c:pt>
                <c:pt idx="16">
                  <c:v>0.79899999999999993</c:v>
                </c:pt>
                <c:pt idx="17">
                  <c:v>0.85000000000000009</c:v>
                </c:pt>
                <c:pt idx="18">
                  <c:v>0.90100000000000036</c:v>
                </c:pt>
                <c:pt idx="19">
                  <c:v>0.95</c:v>
                </c:pt>
                <c:pt idx="20">
                  <c:v>1.0010000000000001</c:v>
                </c:pt>
                <c:pt idx="21">
                  <c:v>1.06</c:v>
                </c:pt>
                <c:pt idx="22">
                  <c:v>1.105</c:v>
                </c:pt>
                <c:pt idx="23">
                  <c:v>1.1489999999999998</c:v>
                </c:pt>
                <c:pt idx="24">
                  <c:v>1.2010000000000003</c:v>
                </c:pt>
                <c:pt idx="25">
                  <c:v>1.2510000000000003</c:v>
                </c:pt>
                <c:pt idx="26">
                  <c:v>1.2999999999999998</c:v>
                </c:pt>
                <c:pt idx="27">
                  <c:v>1.3510000000000002</c:v>
                </c:pt>
                <c:pt idx="28">
                  <c:v>1.395</c:v>
                </c:pt>
                <c:pt idx="29">
                  <c:v>1.4579999999999997</c:v>
                </c:pt>
                <c:pt idx="30">
                  <c:v>1.5110000000000001</c:v>
                </c:pt>
                <c:pt idx="31">
                  <c:v>1.552</c:v>
                </c:pt>
                <c:pt idx="32">
                  <c:v>1.6</c:v>
                </c:pt>
                <c:pt idx="33">
                  <c:v>1.6550000000000002</c:v>
                </c:pt>
                <c:pt idx="34">
                  <c:v>1.704</c:v>
                </c:pt>
                <c:pt idx="35">
                  <c:v>1.7510000000000001</c:v>
                </c:pt>
                <c:pt idx="36">
                  <c:v>1.7989999999999999</c:v>
                </c:pt>
                <c:pt idx="37">
                  <c:v>1.85</c:v>
                </c:pt>
                <c:pt idx="38">
                  <c:v>1.9049999999999998</c:v>
                </c:pt>
                <c:pt idx="39">
                  <c:v>1.9579999999999997</c:v>
                </c:pt>
                <c:pt idx="40">
                  <c:v>2.0020000000000002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2.1549999999999998</c:v>
                </c:pt>
                <c:pt idx="44">
                  <c:v>2.2060000000000004</c:v>
                </c:pt>
                <c:pt idx="45">
                  <c:v>2.2600000000000002</c:v>
                </c:pt>
                <c:pt idx="46">
                  <c:v>2.2999999999999998</c:v>
                </c:pt>
                <c:pt idx="47">
                  <c:v>2.351</c:v>
                </c:pt>
                <c:pt idx="48">
                  <c:v>2.3979999999999997</c:v>
                </c:pt>
                <c:pt idx="49">
                  <c:v>2.4590000000000005</c:v>
                </c:pt>
                <c:pt idx="50">
                  <c:v>2.5009999999999999</c:v>
                </c:pt>
                <c:pt idx="51">
                  <c:v>2.56</c:v>
                </c:pt>
                <c:pt idx="52">
                  <c:v>2.5990000000000006</c:v>
                </c:pt>
                <c:pt idx="53">
                  <c:v>2.65</c:v>
                </c:pt>
                <c:pt idx="54">
                  <c:v>2.7010000000000001</c:v>
                </c:pt>
                <c:pt idx="55">
                  <c:v>2.7439999999999998</c:v>
                </c:pt>
                <c:pt idx="56">
                  <c:v>2.7920000000000003</c:v>
                </c:pt>
                <c:pt idx="57">
                  <c:v>2.8509999999999995</c:v>
                </c:pt>
                <c:pt idx="58">
                  <c:v>2.9520000000000004</c:v>
                </c:pt>
                <c:pt idx="59">
                  <c:v>3.06</c:v>
                </c:pt>
                <c:pt idx="60">
                  <c:v>3.0990000000000006</c:v>
                </c:pt>
                <c:pt idx="61">
                  <c:v>3.1579999999999999</c:v>
                </c:pt>
                <c:pt idx="62">
                  <c:v>3.2009999999999996</c:v>
                </c:pt>
                <c:pt idx="63">
                  <c:v>3.2479999999999993</c:v>
                </c:pt>
                <c:pt idx="64">
                  <c:v>3.3010000000000002</c:v>
                </c:pt>
                <c:pt idx="65">
                  <c:v>3.3500000000000005</c:v>
                </c:pt>
                <c:pt idx="66">
                  <c:v>3.4000000000000004</c:v>
                </c:pt>
                <c:pt idx="67">
                  <c:v>3.4479999999999995</c:v>
                </c:pt>
                <c:pt idx="68">
                  <c:v>3.5020000000000002</c:v>
                </c:pt>
                <c:pt idx="69">
                  <c:v>3.5489999999999999</c:v>
                </c:pt>
                <c:pt idx="70">
                  <c:v>3.601</c:v>
                </c:pt>
                <c:pt idx="71">
                  <c:v>3.601</c:v>
                </c:pt>
                <c:pt idx="72">
                  <c:v>3.6309999999999998</c:v>
                </c:pt>
                <c:pt idx="73">
                  <c:v>3.6899999999999995</c:v>
                </c:pt>
                <c:pt idx="74">
                  <c:v>3.7409999999999997</c:v>
                </c:pt>
                <c:pt idx="75">
                  <c:v>3.79</c:v>
                </c:pt>
                <c:pt idx="76">
                  <c:v>3.8399999999999994</c:v>
                </c:pt>
                <c:pt idx="77">
                  <c:v>3.8859999999999992</c:v>
                </c:pt>
                <c:pt idx="78">
                  <c:v>3.9529999999999998</c:v>
                </c:pt>
                <c:pt idx="79">
                  <c:v>3.9999999999999991</c:v>
                </c:pt>
                <c:pt idx="80">
                  <c:v>4.0389999999999997</c:v>
                </c:pt>
                <c:pt idx="81">
                  <c:v>4.09</c:v>
                </c:pt>
                <c:pt idx="82">
                  <c:v>4.133</c:v>
                </c:pt>
                <c:pt idx="83">
                  <c:v>4.1890000000000001</c:v>
                </c:pt>
                <c:pt idx="84">
                  <c:v>4.238999999999999</c:v>
                </c:pt>
                <c:pt idx="85">
                  <c:v>4.293000000000001</c:v>
                </c:pt>
                <c:pt idx="86">
                  <c:v>4.3419999999999996</c:v>
                </c:pt>
                <c:pt idx="87">
                  <c:v>4.3909999999999991</c:v>
                </c:pt>
                <c:pt idx="88">
                  <c:v>4.4419999999999993</c:v>
                </c:pt>
                <c:pt idx="89">
                  <c:v>4.4919999999999991</c:v>
                </c:pt>
                <c:pt idx="90">
                  <c:v>4.5509999999999993</c:v>
                </c:pt>
                <c:pt idx="91">
                  <c:v>4.5919999999999996</c:v>
                </c:pt>
                <c:pt idx="92">
                  <c:v>4.6509999999999998</c:v>
                </c:pt>
                <c:pt idx="93">
                  <c:v>4.7020000000000008</c:v>
                </c:pt>
                <c:pt idx="94">
                  <c:v>4.742</c:v>
                </c:pt>
                <c:pt idx="95">
                  <c:v>4.7909999999999995</c:v>
                </c:pt>
                <c:pt idx="96">
                  <c:v>4.8110000000000008</c:v>
                </c:pt>
                <c:pt idx="97">
                  <c:v>4.8909999999999991</c:v>
                </c:pt>
                <c:pt idx="98">
                  <c:v>4.9520000000000008</c:v>
                </c:pt>
                <c:pt idx="99">
                  <c:v>4.9930000000000012</c:v>
                </c:pt>
                <c:pt idx="100">
                  <c:v>5.0430000000000001</c:v>
                </c:pt>
                <c:pt idx="101">
                  <c:v>5.0919999999999996</c:v>
                </c:pt>
              </c:numCache>
            </c:numRef>
          </c:xVal>
          <c:yVal>
            <c:numRef>
              <c:f>'Unknown E'!$E$2:$E$103</c:f>
              <c:numCache>
                <c:formatCode>General</c:formatCode>
                <c:ptCount val="102"/>
                <c:pt idx="0">
                  <c:v>1.91</c:v>
                </c:pt>
                <c:pt idx="1">
                  <c:v>1.91</c:v>
                </c:pt>
                <c:pt idx="2">
                  <c:v>1.91</c:v>
                </c:pt>
                <c:pt idx="3">
                  <c:v>1.91</c:v>
                </c:pt>
                <c:pt idx="4">
                  <c:v>1.92</c:v>
                </c:pt>
                <c:pt idx="5">
                  <c:v>1.92</c:v>
                </c:pt>
                <c:pt idx="6" formatCode="0.00">
                  <c:v>1.93</c:v>
                </c:pt>
                <c:pt idx="7" formatCode="0.00">
                  <c:v>1.94</c:v>
                </c:pt>
                <c:pt idx="8" formatCode="0.00">
                  <c:v>1.95</c:v>
                </c:pt>
                <c:pt idx="9" formatCode="0.00">
                  <c:v>1.96</c:v>
                </c:pt>
                <c:pt idx="10" formatCode="0.00">
                  <c:v>1.97</c:v>
                </c:pt>
                <c:pt idx="11" formatCode="0.00">
                  <c:v>1.98</c:v>
                </c:pt>
                <c:pt idx="12" formatCode="0.00">
                  <c:v>1.99</c:v>
                </c:pt>
                <c:pt idx="13" formatCode="0.00">
                  <c:v>2</c:v>
                </c:pt>
                <c:pt idx="14" formatCode="0.00">
                  <c:v>2.0099999999999998</c:v>
                </c:pt>
                <c:pt idx="15" formatCode="0.00">
                  <c:v>2.02</c:v>
                </c:pt>
                <c:pt idx="16" formatCode="0.00">
                  <c:v>2.0299999999999998</c:v>
                </c:pt>
                <c:pt idx="17" formatCode="0.00">
                  <c:v>2.04</c:v>
                </c:pt>
                <c:pt idx="18" formatCode="0.00">
                  <c:v>2.06</c:v>
                </c:pt>
                <c:pt idx="19" formatCode="0.00">
                  <c:v>2.0699999999999998</c:v>
                </c:pt>
                <c:pt idx="20" formatCode="0.00">
                  <c:v>2.09</c:v>
                </c:pt>
                <c:pt idx="21" formatCode="0.00">
                  <c:v>2.1</c:v>
                </c:pt>
                <c:pt idx="22" formatCode="0.00">
                  <c:v>2.12</c:v>
                </c:pt>
                <c:pt idx="23" formatCode="0.00">
                  <c:v>2.13</c:v>
                </c:pt>
                <c:pt idx="24" formatCode="0.00">
                  <c:v>2.14</c:v>
                </c:pt>
                <c:pt idx="25" formatCode="0.00">
                  <c:v>2.16</c:v>
                </c:pt>
                <c:pt idx="26" formatCode="0.00">
                  <c:v>2.1800000000000002</c:v>
                </c:pt>
                <c:pt idx="27" formatCode="0.00">
                  <c:v>2.2000000000000002</c:v>
                </c:pt>
                <c:pt idx="28">
                  <c:v>2.21</c:v>
                </c:pt>
                <c:pt idx="29">
                  <c:v>2.23</c:v>
                </c:pt>
                <c:pt idx="30">
                  <c:v>2.2599999999999998</c:v>
                </c:pt>
                <c:pt idx="31">
                  <c:v>2.27</c:v>
                </c:pt>
                <c:pt idx="32">
                  <c:v>2.29</c:v>
                </c:pt>
                <c:pt idx="33">
                  <c:v>2.31</c:v>
                </c:pt>
                <c:pt idx="34">
                  <c:v>2.33</c:v>
                </c:pt>
                <c:pt idx="35">
                  <c:v>2.35</c:v>
                </c:pt>
                <c:pt idx="36">
                  <c:v>2.38</c:v>
                </c:pt>
                <c:pt idx="37" formatCode="0.00">
                  <c:v>2.4</c:v>
                </c:pt>
                <c:pt idx="38" formatCode="0.00">
                  <c:v>2.4300000000000002</c:v>
                </c:pt>
                <c:pt idx="39" formatCode="0.00">
                  <c:v>2.4500000000000002</c:v>
                </c:pt>
                <c:pt idx="40" formatCode="0.00">
                  <c:v>2.48</c:v>
                </c:pt>
                <c:pt idx="41" formatCode="0.00">
                  <c:v>2.5099999999999998</c:v>
                </c:pt>
                <c:pt idx="42" formatCode="0.00">
                  <c:v>2.54</c:v>
                </c:pt>
                <c:pt idx="43" formatCode="0.00">
                  <c:v>2.57</c:v>
                </c:pt>
                <c:pt idx="44" formatCode="0.00">
                  <c:v>2.6</c:v>
                </c:pt>
                <c:pt idx="45" formatCode="0.00">
                  <c:v>2.64</c:v>
                </c:pt>
                <c:pt idx="46" formatCode="0.00">
                  <c:v>2.67</c:v>
                </c:pt>
                <c:pt idx="47" formatCode="0.00">
                  <c:v>2.71</c:v>
                </c:pt>
                <c:pt idx="48" formatCode="0.00">
                  <c:v>2.75</c:v>
                </c:pt>
                <c:pt idx="49" formatCode="0.00">
                  <c:v>2.8</c:v>
                </c:pt>
                <c:pt idx="50" formatCode="0.00">
                  <c:v>2.84</c:v>
                </c:pt>
                <c:pt idx="51" formatCode="0.00">
                  <c:v>2.9</c:v>
                </c:pt>
                <c:pt idx="52" formatCode="0.00">
                  <c:v>2.95</c:v>
                </c:pt>
                <c:pt idx="53" formatCode="0.00">
                  <c:v>3.05</c:v>
                </c:pt>
                <c:pt idx="54" formatCode="0.00">
                  <c:v>3.08</c:v>
                </c:pt>
                <c:pt idx="55" formatCode="0.00">
                  <c:v>3.16</c:v>
                </c:pt>
                <c:pt idx="56" formatCode="0.00">
                  <c:v>3.24</c:v>
                </c:pt>
                <c:pt idx="57" formatCode="0.00">
                  <c:v>3.32</c:v>
                </c:pt>
                <c:pt idx="58" formatCode="0.00">
                  <c:v>3.62</c:v>
                </c:pt>
                <c:pt idx="59" formatCode="0.00">
                  <c:v>3.75</c:v>
                </c:pt>
                <c:pt idx="60" formatCode="0.00">
                  <c:v>3.82</c:v>
                </c:pt>
                <c:pt idx="61" formatCode="0.00">
                  <c:v>3.94</c:v>
                </c:pt>
                <c:pt idx="62" formatCode="0.00">
                  <c:v>4.01</c:v>
                </c:pt>
                <c:pt idx="63" formatCode="0.00">
                  <c:v>4.08</c:v>
                </c:pt>
                <c:pt idx="64" formatCode="0.00">
                  <c:v>4.17</c:v>
                </c:pt>
                <c:pt idx="65" formatCode="0.00">
                  <c:v>4.26</c:v>
                </c:pt>
                <c:pt idx="66" formatCode="0.00">
                  <c:v>4.34</c:v>
                </c:pt>
                <c:pt idx="67" formatCode="0.00">
                  <c:v>4.43</c:v>
                </c:pt>
                <c:pt idx="68" formatCode="0.00">
                  <c:v>4.55</c:v>
                </c:pt>
                <c:pt idx="69" formatCode="0.00">
                  <c:v>4.63</c:v>
                </c:pt>
                <c:pt idx="70" formatCode="0.00">
                  <c:v>4.75</c:v>
                </c:pt>
                <c:pt idx="71" formatCode="0.00">
                  <c:v>4.76</c:v>
                </c:pt>
                <c:pt idx="72" formatCode="0.00">
                  <c:v>4.87</c:v>
                </c:pt>
                <c:pt idx="73" formatCode="0.00">
                  <c:v>5.0199999999999996</c:v>
                </c:pt>
                <c:pt idx="74" formatCode="0.00">
                  <c:v>5.22</c:v>
                </c:pt>
                <c:pt idx="75" formatCode="0.00">
                  <c:v>5.54</c:v>
                </c:pt>
                <c:pt idx="76" formatCode="0.00">
                  <c:v>7.47</c:v>
                </c:pt>
                <c:pt idx="77" formatCode="0.00">
                  <c:v>8.51</c:v>
                </c:pt>
                <c:pt idx="78" formatCode="0.00">
                  <c:v>8.93</c:v>
                </c:pt>
                <c:pt idx="79" formatCode="0.00">
                  <c:v>9.0399999999999991</c:v>
                </c:pt>
                <c:pt idx="80" formatCode="0.00">
                  <c:v>9.15</c:v>
                </c:pt>
                <c:pt idx="81" formatCode="0.00">
                  <c:v>9.2799999999999994</c:v>
                </c:pt>
                <c:pt idx="82" formatCode="0.00">
                  <c:v>9.3800000000000008</c:v>
                </c:pt>
                <c:pt idx="83" formatCode="0.00">
                  <c:v>9.4700000000000006</c:v>
                </c:pt>
                <c:pt idx="84" formatCode="0.00">
                  <c:v>9.57</c:v>
                </c:pt>
                <c:pt idx="85" formatCode="0.00">
                  <c:v>9.64</c:v>
                </c:pt>
                <c:pt idx="86" formatCode="0.00">
                  <c:v>9.74</c:v>
                </c:pt>
                <c:pt idx="87" formatCode="0.00">
                  <c:v>9.82</c:v>
                </c:pt>
                <c:pt idx="88" formatCode="0.00">
                  <c:v>9.89</c:v>
                </c:pt>
                <c:pt idx="89" formatCode="0.00">
                  <c:v>9.98</c:v>
                </c:pt>
                <c:pt idx="90" formatCode="0.00">
                  <c:v>10.07</c:v>
                </c:pt>
                <c:pt idx="91" formatCode="0.00">
                  <c:v>10.15</c:v>
                </c:pt>
                <c:pt idx="92" formatCode="0.00">
                  <c:v>10.25</c:v>
                </c:pt>
                <c:pt idx="93" formatCode="0.00">
                  <c:v>10.36</c:v>
                </c:pt>
                <c:pt idx="94" formatCode="0.00">
                  <c:v>10.44</c:v>
                </c:pt>
                <c:pt idx="95" formatCode="0.00">
                  <c:v>10.52</c:v>
                </c:pt>
                <c:pt idx="96" formatCode="0.00">
                  <c:v>10.67</c:v>
                </c:pt>
                <c:pt idx="97" formatCode="0.00">
                  <c:v>10.76</c:v>
                </c:pt>
                <c:pt idx="98" formatCode="0.00">
                  <c:v>10.87</c:v>
                </c:pt>
                <c:pt idx="99" formatCode="0.00">
                  <c:v>10.96</c:v>
                </c:pt>
                <c:pt idx="100" formatCode="0.00">
                  <c:v>11.03</c:v>
                </c:pt>
                <c:pt idx="101" formatCode="0.00">
                  <c:v>11.09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3A-8648-8475-2894971B8305}"/>
            </c:ext>
          </c:extLst>
        </c:ser>
        <c:ser>
          <c:idx val="1"/>
          <c:order val="1"/>
          <c:tx>
            <c:v>EQ1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5"/>
                </a:solidFill>
                <a:prstDash val="dash"/>
                <a:round/>
              </a:ln>
              <a:effectLst/>
            </c:spPr>
          </c:errBars>
          <c:xVal>
            <c:numRef>
              <c:f>'Unknown E'!$R$5</c:f>
              <c:numCache>
                <c:formatCode>General</c:formatCode>
                <c:ptCount val="1"/>
                <c:pt idx="0">
                  <c:v>2.851</c:v>
                </c:pt>
              </c:numCache>
            </c:numRef>
          </c:xVal>
          <c:yVal>
            <c:numRef>
              <c:f>'Unknown E'!$S$5</c:f>
              <c:numCache>
                <c:formatCode>General</c:formatCode>
                <c:ptCount val="1"/>
                <c:pt idx="0">
                  <c:v>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3A-8648-8475-2894971B8305}"/>
            </c:ext>
          </c:extLst>
        </c:ser>
        <c:ser>
          <c:idx val="2"/>
          <c:order val="2"/>
          <c:tx>
            <c:v>Half-eq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'Unknown E'!$R$10</c:f>
              <c:numCache>
                <c:formatCode>General</c:formatCode>
                <c:ptCount val="1"/>
                <c:pt idx="0">
                  <c:v>2.3980000000000001</c:v>
                </c:pt>
              </c:numCache>
            </c:numRef>
          </c:xVal>
          <c:yVal>
            <c:numRef>
              <c:f>'Unknown E'!$S$10</c:f>
              <c:numCache>
                <c:formatCode>General</c:formatCode>
                <c:ptCount val="1"/>
                <c:pt idx="0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3A-8648-8475-2894971B8305}"/>
            </c:ext>
          </c:extLst>
        </c:ser>
        <c:ser>
          <c:idx val="4"/>
          <c:order val="3"/>
          <c:tx>
            <c:v>Half-eq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'Unknown E'!$R$20</c:f>
              <c:numCache>
                <c:formatCode>General</c:formatCode>
                <c:ptCount val="1"/>
                <c:pt idx="0">
                  <c:v>3.4</c:v>
                </c:pt>
              </c:numCache>
            </c:numRef>
          </c:xVal>
          <c:yVal>
            <c:numRef>
              <c:f>'Unknown E'!$S$20</c:f>
              <c:numCache>
                <c:formatCode>General</c:formatCode>
                <c:ptCount val="1"/>
                <c:pt idx="0">
                  <c:v>4.34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3A-8648-8475-2894971B8305}"/>
            </c:ext>
          </c:extLst>
        </c:ser>
        <c:ser>
          <c:idx val="3"/>
          <c:order val="4"/>
          <c:tx>
            <c:v>EQ2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5"/>
                </a:solidFill>
                <a:prstDash val="dash"/>
                <a:round/>
              </a:ln>
              <a:effectLst/>
            </c:spPr>
          </c:errBars>
          <c:xVal>
            <c:numRef>
              <c:f>'Unknown E'!$R$15</c:f>
              <c:numCache>
                <c:formatCode>General</c:formatCode>
                <c:ptCount val="1"/>
                <c:pt idx="0">
                  <c:v>3.84</c:v>
                </c:pt>
              </c:numCache>
            </c:numRef>
          </c:xVal>
          <c:yVal>
            <c:numRef>
              <c:f>'Unknown E'!$S$15</c:f>
              <c:numCache>
                <c:formatCode>General</c:formatCode>
                <c:ptCount val="1"/>
                <c:pt idx="0">
                  <c:v>7.47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3A-8648-8475-2894971B8305}"/>
            </c:ext>
          </c:extLst>
        </c:ser>
        <c:ser>
          <c:idx val="5"/>
          <c:order val="5"/>
          <c:tx>
            <c:v>EQ3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5"/>
                </a:solidFill>
                <a:prstDash val="dash"/>
                <a:round/>
              </a:ln>
              <a:effectLst/>
            </c:spPr>
          </c:errBars>
          <c:xVal>
            <c:numRef>
              <c:f>'Unknown E'!$R$25</c:f>
              <c:numCache>
                <c:formatCode>General</c:formatCode>
                <c:ptCount val="1"/>
                <c:pt idx="0">
                  <c:v>4.8109999999999999</c:v>
                </c:pt>
              </c:numCache>
            </c:numRef>
          </c:xVal>
          <c:yVal>
            <c:numRef>
              <c:f>'Unknown E'!$S$25</c:f>
              <c:numCache>
                <c:formatCode>General</c:formatCode>
                <c:ptCount val="1"/>
                <c:pt idx="0">
                  <c:v>10.67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D3A-8648-8475-2894971B8305}"/>
            </c:ext>
          </c:extLst>
        </c:ser>
        <c:ser>
          <c:idx val="6"/>
          <c:order val="6"/>
          <c:tx>
            <c:v>Half-eq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'Unknown E'!$R$30</c:f>
              <c:numCache>
                <c:formatCode>General</c:formatCode>
                <c:ptCount val="1"/>
                <c:pt idx="0">
                  <c:v>4.3419999999999996</c:v>
                </c:pt>
              </c:numCache>
            </c:numRef>
          </c:xVal>
          <c:yVal>
            <c:numRef>
              <c:f>'Unknown E'!$S$30</c:f>
              <c:numCache>
                <c:formatCode>General</c:formatCode>
                <c:ptCount val="1"/>
                <c:pt idx="0">
                  <c:v>9.74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D3A-8648-8475-2894971B8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164368"/>
        <c:axId val="1372661279"/>
      </c:scatterChart>
      <c:valAx>
        <c:axId val="73016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Equivalents</a:t>
                </a:r>
                <a:r>
                  <a:rPr lang="en-US" baseline="0"/>
                  <a:t> Added of NaOH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661279"/>
        <c:crosses val="autoZero"/>
        <c:crossBetween val="midCat"/>
      </c:valAx>
      <c:valAx>
        <c:axId val="13726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6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Glutamate Titration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 VS EQ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'Unknown E - Volume'!$D$2:$D$103</c:f>
              <c:numCache>
                <c:formatCode>General</c:formatCode>
                <c:ptCount val="102"/>
                <c:pt idx="0">
                  <c:v>0</c:v>
                </c:pt>
                <c:pt idx="1">
                  <c:v>0.48000000000000043</c:v>
                </c:pt>
                <c:pt idx="2">
                  <c:v>0.94999999999999929</c:v>
                </c:pt>
                <c:pt idx="3">
                  <c:v>1.5</c:v>
                </c:pt>
                <c:pt idx="4">
                  <c:v>1.9900000000000002</c:v>
                </c:pt>
                <c:pt idx="5">
                  <c:v>2.5100000000000016</c:v>
                </c:pt>
                <c:pt idx="6" formatCode="0.00">
                  <c:v>2.9800000000000004</c:v>
                </c:pt>
                <c:pt idx="7" formatCode="0.00">
                  <c:v>3.5799999999999983</c:v>
                </c:pt>
                <c:pt idx="8" formatCode="0.00">
                  <c:v>3.9899999999999984</c:v>
                </c:pt>
                <c:pt idx="9" formatCode="0.00">
                  <c:v>4.5</c:v>
                </c:pt>
                <c:pt idx="10" formatCode="0.00">
                  <c:v>4.9800000000000004</c:v>
                </c:pt>
                <c:pt idx="11" formatCode="0.00">
                  <c:v>5.4899999999999984</c:v>
                </c:pt>
                <c:pt idx="12" formatCode="0.00">
                  <c:v>5.9499999999999993</c:v>
                </c:pt>
                <c:pt idx="13" formatCode="0.00">
                  <c:v>6.5100000000000016</c:v>
                </c:pt>
                <c:pt idx="14" formatCode="0.00">
                  <c:v>7</c:v>
                </c:pt>
                <c:pt idx="15" formatCode="0.00">
                  <c:v>7.6000000000000014</c:v>
                </c:pt>
                <c:pt idx="16" formatCode="0.00">
                  <c:v>7.9899999999999984</c:v>
                </c:pt>
                <c:pt idx="17" formatCode="0.00">
                  <c:v>8.5</c:v>
                </c:pt>
                <c:pt idx="18" formatCode="0.00">
                  <c:v>9.0100000000000016</c:v>
                </c:pt>
                <c:pt idx="19" formatCode="0.00">
                  <c:v>9.5</c:v>
                </c:pt>
                <c:pt idx="20" formatCode="0.00">
                  <c:v>10.010000000000002</c:v>
                </c:pt>
                <c:pt idx="21" formatCode="0.00">
                  <c:v>10.600000000000001</c:v>
                </c:pt>
                <c:pt idx="22" formatCode="0.00">
                  <c:v>11.05</c:v>
                </c:pt>
                <c:pt idx="23" formatCode="0.00">
                  <c:v>11.489999999999998</c:v>
                </c:pt>
                <c:pt idx="24" formatCode="0.00">
                  <c:v>12.010000000000002</c:v>
                </c:pt>
                <c:pt idx="25" formatCode="0.00">
                  <c:v>12.510000000000002</c:v>
                </c:pt>
                <c:pt idx="26" formatCode="0.00">
                  <c:v>13</c:v>
                </c:pt>
                <c:pt idx="27" formatCode="0.00">
                  <c:v>13.510000000000002</c:v>
                </c:pt>
                <c:pt idx="28">
                  <c:v>13.95</c:v>
                </c:pt>
                <c:pt idx="29">
                  <c:v>14.579999999999998</c:v>
                </c:pt>
                <c:pt idx="30">
                  <c:v>15.11</c:v>
                </c:pt>
                <c:pt idx="31">
                  <c:v>15.52</c:v>
                </c:pt>
                <c:pt idx="32">
                  <c:v>16</c:v>
                </c:pt>
                <c:pt idx="33">
                  <c:v>16.55</c:v>
                </c:pt>
                <c:pt idx="34">
                  <c:v>17.04</c:v>
                </c:pt>
                <c:pt idx="35">
                  <c:v>17.510000000000002</c:v>
                </c:pt>
                <c:pt idx="36">
                  <c:v>17.989999999999998</c:v>
                </c:pt>
                <c:pt idx="37" formatCode="0.00">
                  <c:v>18.5</c:v>
                </c:pt>
                <c:pt idx="38" formatCode="0.00">
                  <c:v>19.049999999999997</c:v>
                </c:pt>
                <c:pt idx="39" formatCode="0.00">
                  <c:v>19.579999999999998</c:v>
                </c:pt>
                <c:pt idx="40" formatCode="0.00">
                  <c:v>20.020000000000003</c:v>
                </c:pt>
                <c:pt idx="41" formatCode="0.00">
                  <c:v>20.5</c:v>
                </c:pt>
                <c:pt idx="42" formatCode="0.00">
                  <c:v>21</c:v>
                </c:pt>
                <c:pt idx="43" formatCode="0.00">
                  <c:v>21.549999999999997</c:v>
                </c:pt>
                <c:pt idx="44" formatCode="0.00">
                  <c:v>22.060000000000002</c:v>
                </c:pt>
                <c:pt idx="45" formatCode="0.00">
                  <c:v>22.6</c:v>
                </c:pt>
                <c:pt idx="46" formatCode="0.00">
                  <c:v>23</c:v>
                </c:pt>
                <c:pt idx="47" formatCode="0.00">
                  <c:v>23.509999999999998</c:v>
                </c:pt>
                <c:pt idx="48" formatCode="0.00">
                  <c:v>23.979999999999997</c:v>
                </c:pt>
                <c:pt idx="49" formatCode="0.00">
                  <c:v>24.590000000000003</c:v>
                </c:pt>
                <c:pt idx="50" formatCode="0.00">
                  <c:v>25.009999999999998</c:v>
                </c:pt>
                <c:pt idx="51" formatCode="0.00">
                  <c:v>25.6</c:v>
                </c:pt>
                <c:pt idx="52" formatCode="0.00">
                  <c:v>25.990000000000002</c:v>
                </c:pt>
                <c:pt idx="53" formatCode="0.00">
                  <c:v>26.5</c:v>
                </c:pt>
                <c:pt idx="54" formatCode="0.00">
                  <c:v>27.009999999999998</c:v>
                </c:pt>
                <c:pt idx="55" formatCode="0.00">
                  <c:v>27.439999999999998</c:v>
                </c:pt>
                <c:pt idx="56" formatCode="0.00">
                  <c:v>27.92</c:v>
                </c:pt>
                <c:pt idx="57" formatCode="0.00">
                  <c:v>28.509999999999998</c:v>
                </c:pt>
                <c:pt idx="58" formatCode="0.00">
                  <c:v>29.520000000000003</c:v>
                </c:pt>
                <c:pt idx="59" formatCode="0.00">
                  <c:v>30.6</c:v>
                </c:pt>
                <c:pt idx="60" formatCode="0.00">
                  <c:v>30.990000000000002</c:v>
                </c:pt>
                <c:pt idx="61" formatCode="0.00">
                  <c:v>31.58</c:v>
                </c:pt>
                <c:pt idx="62" formatCode="0.00">
                  <c:v>32.01</c:v>
                </c:pt>
                <c:pt idx="63" formatCode="0.00">
                  <c:v>32.479999999999997</c:v>
                </c:pt>
                <c:pt idx="64" formatCode="0.00">
                  <c:v>33.01</c:v>
                </c:pt>
                <c:pt idx="65" formatCode="0.00">
                  <c:v>33.5</c:v>
                </c:pt>
                <c:pt idx="66" formatCode="0.00">
                  <c:v>34</c:v>
                </c:pt>
                <c:pt idx="67" formatCode="0.00">
                  <c:v>34.479999999999997</c:v>
                </c:pt>
                <c:pt idx="68" formatCode="0.00">
                  <c:v>35.020000000000003</c:v>
                </c:pt>
                <c:pt idx="69" formatCode="0.00">
                  <c:v>35.49</c:v>
                </c:pt>
                <c:pt idx="70" formatCode="0.00">
                  <c:v>36.01</c:v>
                </c:pt>
                <c:pt idx="71" formatCode="0.00">
                  <c:v>36.01</c:v>
                </c:pt>
                <c:pt idx="72" formatCode="0.00">
                  <c:v>36.309999999999995</c:v>
                </c:pt>
                <c:pt idx="73" formatCode="0.00">
                  <c:v>36.9</c:v>
                </c:pt>
                <c:pt idx="74" formatCode="0.00">
                  <c:v>37.409999999999989</c:v>
                </c:pt>
                <c:pt idx="75" formatCode="0.00">
                  <c:v>37.9</c:v>
                </c:pt>
                <c:pt idx="76" formatCode="0.00">
                  <c:v>38.4</c:v>
                </c:pt>
                <c:pt idx="77" formatCode="0.00">
                  <c:v>38.859999999999992</c:v>
                </c:pt>
                <c:pt idx="78" formatCode="0.00">
                  <c:v>39.529999999999994</c:v>
                </c:pt>
                <c:pt idx="79" formatCode="0.00">
                  <c:v>39.999999999999993</c:v>
                </c:pt>
                <c:pt idx="80" formatCode="0.00">
                  <c:v>40.389999999999993</c:v>
                </c:pt>
                <c:pt idx="81" formatCode="0.00">
                  <c:v>40.9</c:v>
                </c:pt>
                <c:pt idx="82" formatCode="0.00">
                  <c:v>41.330000000000005</c:v>
                </c:pt>
                <c:pt idx="83" formatCode="0.00">
                  <c:v>41.889999999999993</c:v>
                </c:pt>
                <c:pt idx="84" formatCode="0.00">
                  <c:v>42.389999999999993</c:v>
                </c:pt>
                <c:pt idx="85" formatCode="0.00">
                  <c:v>42.93</c:v>
                </c:pt>
                <c:pt idx="86" formatCode="0.00">
                  <c:v>43.419999999999995</c:v>
                </c:pt>
                <c:pt idx="87" formatCode="0.00">
                  <c:v>43.909999999999989</c:v>
                </c:pt>
                <c:pt idx="88" formatCode="0.00">
                  <c:v>44.419999999999995</c:v>
                </c:pt>
                <c:pt idx="89" formatCode="0.00">
                  <c:v>44.919999999999995</c:v>
                </c:pt>
                <c:pt idx="90" formatCode="0.00">
                  <c:v>45.51</c:v>
                </c:pt>
                <c:pt idx="91" formatCode="0.00">
                  <c:v>45.919999999999995</c:v>
                </c:pt>
                <c:pt idx="92" formatCode="0.00">
                  <c:v>46.51</c:v>
                </c:pt>
                <c:pt idx="93" formatCode="0.00">
                  <c:v>47.02</c:v>
                </c:pt>
                <c:pt idx="94" formatCode="0.00">
                  <c:v>47.419999999999995</c:v>
                </c:pt>
                <c:pt idx="95" formatCode="0.00">
                  <c:v>47.909999999999989</c:v>
                </c:pt>
                <c:pt idx="96" formatCode="0.00">
                  <c:v>48.110000000000007</c:v>
                </c:pt>
                <c:pt idx="97" formatCode="0.00">
                  <c:v>48.909999999999989</c:v>
                </c:pt>
                <c:pt idx="98" formatCode="0.00">
                  <c:v>49.52</c:v>
                </c:pt>
                <c:pt idx="99" formatCode="0.00">
                  <c:v>49.93</c:v>
                </c:pt>
                <c:pt idx="100" formatCode="0.00">
                  <c:v>50.43</c:v>
                </c:pt>
                <c:pt idx="101" formatCode="0.00">
                  <c:v>50.919999999999995</c:v>
                </c:pt>
              </c:numCache>
            </c:numRef>
          </c:xVal>
          <c:yVal>
            <c:numRef>
              <c:f>'Unknown E - Volume'!$E$2:$E$103</c:f>
              <c:numCache>
                <c:formatCode>General</c:formatCode>
                <c:ptCount val="102"/>
                <c:pt idx="0">
                  <c:v>1.91</c:v>
                </c:pt>
                <c:pt idx="1">
                  <c:v>1.91</c:v>
                </c:pt>
                <c:pt idx="2">
                  <c:v>1.91</c:v>
                </c:pt>
                <c:pt idx="3">
                  <c:v>1.91</c:v>
                </c:pt>
                <c:pt idx="4">
                  <c:v>1.92</c:v>
                </c:pt>
                <c:pt idx="5">
                  <c:v>1.92</c:v>
                </c:pt>
                <c:pt idx="6" formatCode="0.00">
                  <c:v>1.93</c:v>
                </c:pt>
                <c:pt idx="7" formatCode="0.00">
                  <c:v>1.94</c:v>
                </c:pt>
                <c:pt idx="8" formatCode="0.00">
                  <c:v>1.95</c:v>
                </c:pt>
                <c:pt idx="9" formatCode="0.00">
                  <c:v>1.96</c:v>
                </c:pt>
                <c:pt idx="10" formatCode="0.00">
                  <c:v>1.97</c:v>
                </c:pt>
                <c:pt idx="11" formatCode="0.00">
                  <c:v>1.98</c:v>
                </c:pt>
                <c:pt idx="12" formatCode="0.00">
                  <c:v>1.99</c:v>
                </c:pt>
                <c:pt idx="13" formatCode="0.00">
                  <c:v>2</c:v>
                </c:pt>
                <c:pt idx="14" formatCode="0.00">
                  <c:v>2.0099999999999998</c:v>
                </c:pt>
                <c:pt idx="15" formatCode="0.00">
                  <c:v>2.02</c:v>
                </c:pt>
                <c:pt idx="16" formatCode="0.00">
                  <c:v>2.0299999999999998</c:v>
                </c:pt>
                <c:pt idx="17" formatCode="0.00">
                  <c:v>2.04</c:v>
                </c:pt>
                <c:pt idx="18" formatCode="0.00">
                  <c:v>2.06</c:v>
                </c:pt>
                <c:pt idx="19" formatCode="0.00">
                  <c:v>2.0699999999999998</c:v>
                </c:pt>
                <c:pt idx="20" formatCode="0.00">
                  <c:v>2.09</c:v>
                </c:pt>
                <c:pt idx="21" formatCode="0.00">
                  <c:v>2.1</c:v>
                </c:pt>
                <c:pt idx="22" formatCode="0.00">
                  <c:v>2.12</c:v>
                </c:pt>
                <c:pt idx="23" formatCode="0.00">
                  <c:v>2.13</c:v>
                </c:pt>
                <c:pt idx="24" formatCode="0.00">
                  <c:v>2.14</c:v>
                </c:pt>
                <c:pt idx="25" formatCode="0.00">
                  <c:v>2.16</c:v>
                </c:pt>
                <c:pt idx="26" formatCode="0.00">
                  <c:v>2.1800000000000002</c:v>
                </c:pt>
                <c:pt idx="27" formatCode="0.00">
                  <c:v>2.2000000000000002</c:v>
                </c:pt>
                <c:pt idx="28">
                  <c:v>2.21</c:v>
                </c:pt>
                <c:pt idx="29">
                  <c:v>2.23</c:v>
                </c:pt>
                <c:pt idx="30">
                  <c:v>2.2599999999999998</c:v>
                </c:pt>
                <c:pt idx="31">
                  <c:v>2.27</c:v>
                </c:pt>
                <c:pt idx="32">
                  <c:v>2.29</c:v>
                </c:pt>
                <c:pt idx="33">
                  <c:v>2.31</c:v>
                </c:pt>
                <c:pt idx="34">
                  <c:v>2.33</c:v>
                </c:pt>
                <c:pt idx="35">
                  <c:v>2.35</c:v>
                </c:pt>
                <c:pt idx="36">
                  <c:v>2.38</c:v>
                </c:pt>
                <c:pt idx="37" formatCode="0.00">
                  <c:v>2.4</c:v>
                </c:pt>
                <c:pt idx="38" formatCode="0.00">
                  <c:v>2.4300000000000002</c:v>
                </c:pt>
                <c:pt idx="39" formatCode="0.00">
                  <c:v>2.4500000000000002</c:v>
                </c:pt>
                <c:pt idx="40" formatCode="0.00">
                  <c:v>2.48</c:v>
                </c:pt>
                <c:pt idx="41" formatCode="0.00">
                  <c:v>2.5099999999999998</c:v>
                </c:pt>
                <c:pt idx="42" formatCode="0.00">
                  <c:v>2.54</c:v>
                </c:pt>
                <c:pt idx="43" formatCode="0.00">
                  <c:v>2.57</c:v>
                </c:pt>
                <c:pt idx="44" formatCode="0.00">
                  <c:v>2.6</c:v>
                </c:pt>
                <c:pt idx="45" formatCode="0.00">
                  <c:v>2.64</c:v>
                </c:pt>
                <c:pt idx="46" formatCode="0.00">
                  <c:v>2.67</c:v>
                </c:pt>
                <c:pt idx="47" formatCode="0.00">
                  <c:v>2.71</c:v>
                </c:pt>
                <c:pt idx="48" formatCode="0.00">
                  <c:v>2.75</c:v>
                </c:pt>
                <c:pt idx="49" formatCode="0.00">
                  <c:v>2.8</c:v>
                </c:pt>
                <c:pt idx="50" formatCode="0.00">
                  <c:v>2.84</c:v>
                </c:pt>
                <c:pt idx="51" formatCode="0.00">
                  <c:v>2.9</c:v>
                </c:pt>
                <c:pt idx="52" formatCode="0.00">
                  <c:v>2.95</c:v>
                </c:pt>
                <c:pt idx="53" formatCode="0.00">
                  <c:v>3.05</c:v>
                </c:pt>
                <c:pt idx="54" formatCode="0.00">
                  <c:v>3.08</c:v>
                </c:pt>
                <c:pt idx="55" formatCode="0.00">
                  <c:v>3.16</c:v>
                </c:pt>
                <c:pt idx="56" formatCode="0.00">
                  <c:v>3.24</c:v>
                </c:pt>
                <c:pt idx="57" formatCode="0.00">
                  <c:v>3.32</c:v>
                </c:pt>
                <c:pt idx="58" formatCode="0.00">
                  <c:v>3.62</c:v>
                </c:pt>
                <c:pt idx="59" formatCode="0.00">
                  <c:v>3.75</c:v>
                </c:pt>
                <c:pt idx="60" formatCode="0.00">
                  <c:v>3.82</c:v>
                </c:pt>
                <c:pt idx="61" formatCode="0.00">
                  <c:v>3.94</c:v>
                </c:pt>
                <c:pt idx="62" formatCode="0.00">
                  <c:v>4.01</c:v>
                </c:pt>
                <c:pt idx="63" formatCode="0.00">
                  <c:v>4.08</c:v>
                </c:pt>
                <c:pt idx="64" formatCode="0.00">
                  <c:v>4.17</c:v>
                </c:pt>
                <c:pt idx="65" formatCode="0.00">
                  <c:v>4.26</c:v>
                </c:pt>
                <c:pt idx="66" formatCode="0.00">
                  <c:v>4.34</c:v>
                </c:pt>
                <c:pt idx="67" formatCode="0.00">
                  <c:v>4.43</c:v>
                </c:pt>
                <c:pt idx="68" formatCode="0.00">
                  <c:v>4.55</c:v>
                </c:pt>
                <c:pt idx="69" formatCode="0.00">
                  <c:v>4.63</c:v>
                </c:pt>
                <c:pt idx="70" formatCode="0.00">
                  <c:v>4.75</c:v>
                </c:pt>
                <c:pt idx="71" formatCode="0.00">
                  <c:v>4.76</c:v>
                </c:pt>
                <c:pt idx="72" formatCode="0.00">
                  <c:v>4.87</c:v>
                </c:pt>
                <c:pt idx="73" formatCode="0.00">
                  <c:v>5.0199999999999996</c:v>
                </c:pt>
                <c:pt idx="74" formatCode="0.00">
                  <c:v>5.22</c:v>
                </c:pt>
                <c:pt idx="75" formatCode="0.00">
                  <c:v>5.54</c:v>
                </c:pt>
                <c:pt idx="76" formatCode="0.00">
                  <c:v>7.47</c:v>
                </c:pt>
                <c:pt idx="77" formatCode="0.00">
                  <c:v>8.51</c:v>
                </c:pt>
                <c:pt idx="78" formatCode="0.00">
                  <c:v>8.93</c:v>
                </c:pt>
                <c:pt idx="79" formatCode="0.00">
                  <c:v>9.0399999999999991</c:v>
                </c:pt>
                <c:pt idx="80" formatCode="0.00">
                  <c:v>9.15</c:v>
                </c:pt>
                <c:pt idx="81" formatCode="0.00">
                  <c:v>9.2799999999999994</c:v>
                </c:pt>
                <c:pt idx="82" formatCode="0.00">
                  <c:v>9.3800000000000008</c:v>
                </c:pt>
                <c:pt idx="83" formatCode="0.00">
                  <c:v>9.4700000000000006</c:v>
                </c:pt>
                <c:pt idx="84" formatCode="0.00">
                  <c:v>9.57</c:v>
                </c:pt>
                <c:pt idx="85" formatCode="0.00">
                  <c:v>9.64</c:v>
                </c:pt>
                <c:pt idx="86" formatCode="0.00">
                  <c:v>9.74</c:v>
                </c:pt>
                <c:pt idx="87" formatCode="0.00">
                  <c:v>9.82</c:v>
                </c:pt>
                <c:pt idx="88" formatCode="0.00">
                  <c:v>9.89</c:v>
                </c:pt>
                <c:pt idx="89" formatCode="0.00">
                  <c:v>9.98</c:v>
                </c:pt>
                <c:pt idx="90" formatCode="0.00">
                  <c:v>10.07</c:v>
                </c:pt>
                <c:pt idx="91" formatCode="0.00">
                  <c:v>10.15</c:v>
                </c:pt>
                <c:pt idx="92" formatCode="0.00">
                  <c:v>10.25</c:v>
                </c:pt>
                <c:pt idx="93" formatCode="0.00">
                  <c:v>10.36</c:v>
                </c:pt>
                <c:pt idx="94" formatCode="0.00">
                  <c:v>10.44</c:v>
                </c:pt>
                <c:pt idx="95" formatCode="0.00">
                  <c:v>10.52</c:v>
                </c:pt>
                <c:pt idx="96" formatCode="0.00">
                  <c:v>10.67</c:v>
                </c:pt>
                <c:pt idx="97" formatCode="0.00">
                  <c:v>10.76</c:v>
                </c:pt>
                <c:pt idx="98" formatCode="0.00">
                  <c:v>10.87</c:v>
                </c:pt>
                <c:pt idx="99" formatCode="0.00">
                  <c:v>10.96</c:v>
                </c:pt>
                <c:pt idx="100" formatCode="0.00">
                  <c:v>11.03</c:v>
                </c:pt>
                <c:pt idx="101" formatCode="0.00">
                  <c:v>11.09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6A-7741-A87D-D511D4B388C1}"/>
            </c:ext>
          </c:extLst>
        </c:ser>
        <c:ser>
          <c:idx val="1"/>
          <c:order val="1"/>
          <c:tx>
            <c:v>EQ1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5"/>
                </a:solidFill>
                <a:prstDash val="dash"/>
                <a:round/>
              </a:ln>
              <a:effectLst/>
            </c:spPr>
          </c:errBars>
          <c:xVal>
            <c:numRef>
              <c:f>'Unknown E - Volume'!$R$5</c:f>
              <c:numCache>
                <c:formatCode>General</c:formatCode>
                <c:ptCount val="1"/>
                <c:pt idx="0">
                  <c:v>28.51</c:v>
                </c:pt>
              </c:numCache>
            </c:numRef>
          </c:xVal>
          <c:yVal>
            <c:numRef>
              <c:f>'Unknown E - Volume'!$S$5</c:f>
              <c:numCache>
                <c:formatCode>General</c:formatCode>
                <c:ptCount val="1"/>
                <c:pt idx="0">
                  <c:v>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6A-7741-A87D-D511D4B388C1}"/>
            </c:ext>
          </c:extLst>
        </c:ser>
        <c:ser>
          <c:idx val="2"/>
          <c:order val="2"/>
          <c:tx>
            <c:v>Half-eq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'Unknown E - Volume'!$R$10</c:f>
              <c:numCache>
                <c:formatCode>General</c:formatCode>
                <c:ptCount val="1"/>
                <c:pt idx="0">
                  <c:v>23.98</c:v>
                </c:pt>
              </c:numCache>
            </c:numRef>
          </c:xVal>
          <c:yVal>
            <c:numRef>
              <c:f>'Unknown E - Volume'!$S$10</c:f>
              <c:numCache>
                <c:formatCode>General</c:formatCode>
                <c:ptCount val="1"/>
                <c:pt idx="0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6A-7741-A87D-D511D4B388C1}"/>
            </c:ext>
          </c:extLst>
        </c:ser>
        <c:ser>
          <c:idx val="4"/>
          <c:order val="3"/>
          <c:tx>
            <c:v>Half-eq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'Unknown E - Volume'!$R$20</c:f>
              <c:numCache>
                <c:formatCode>General</c:formatCode>
                <c:ptCount val="1"/>
                <c:pt idx="0">
                  <c:v>34</c:v>
                </c:pt>
              </c:numCache>
            </c:numRef>
          </c:xVal>
          <c:yVal>
            <c:numRef>
              <c:f>'Unknown E - Volume'!$S$20</c:f>
              <c:numCache>
                <c:formatCode>General</c:formatCode>
                <c:ptCount val="1"/>
                <c:pt idx="0">
                  <c:v>4.34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6A-7741-A87D-D511D4B388C1}"/>
            </c:ext>
          </c:extLst>
        </c:ser>
        <c:ser>
          <c:idx val="3"/>
          <c:order val="4"/>
          <c:tx>
            <c:v>EQ2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5"/>
                </a:solidFill>
                <a:prstDash val="dash"/>
                <a:round/>
              </a:ln>
              <a:effectLst/>
            </c:spPr>
          </c:errBars>
          <c:xVal>
            <c:numRef>
              <c:f>'Unknown E - Volume'!$R$15</c:f>
              <c:numCache>
                <c:formatCode>General</c:formatCode>
                <c:ptCount val="1"/>
                <c:pt idx="0">
                  <c:v>38.4</c:v>
                </c:pt>
              </c:numCache>
            </c:numRef>
          </c:xVal>
          <c:yVal>
            <c:numRef>
              <c:f>'Unknown E - Volume'!$S$15</c:f>
              <c:numCache>
                <c:formatCode>General</c:formatCode>
                <c:ptCount val="1"/>
                <c:pt idx="0">
                  <c:v>7.47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6A-7741-A87D-D511D4B388C1}"/>
            </c:ext>
          </c:extLst>
        </c:ser>
        <c:ser>
          <c:idx val="5"/>
          <c:order val="5"/>
          <c:tx>
            <c:v>EQ3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5"/>
                </a:solidFill>
                <a:prstDash val="dash"/>
                <a:round/>
              </a:ln>
              <a:effectLst/>
            </c:spPr>
          </c:errBars>
          <c:xVal>
            <c:numRef>
              <c:f>'Unknown E - Volume'!$R$25</c:f>
              <c:numCache>
                <c:formatCode>General</c:formatCode>
                <c:ptCount val="1"/>
                <c:pt idx="0">
                  <c:v>48.11</c:v>
                </c:pt>
              </c:numCache>
            </c:numRef>
          </c:xVal>
          <c:yVal>
            <c:numRef>
              <c:f>'Unknown E - Volume'!$S$25</c:f>
              <c:numCache>
                <c:formatCode>General</c:formatCode>
                <c:ptCount val="1"/>
                <c:pt idx="0">
                  <c:v>10.67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6A-7741-A87D-D511D4B388C1}"/>
            </c:ext>
          </c:extLst>
        </c:ser>
        <c:ser>
          <c:idx val="6"/>
          <c:order val="6"/>
          <c:tx>
            <c:v>Half-eq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'Unknown E - Volume'!$R$30</c:f>
              <c:numCache>
                <c:formatCode>General</c:formatCode>
                <c:ptCount val="1"/>
                <c:pt idx="0">
                  <c:v>43.42</c:v>
                </c:pt>
              </c:numCache>
            </c:numRef>
          </c:xVal>
          <c:yVal>
            <c:numRef>
              <c:f>'Unknown E - Volume'!$S$30</c:f>
              <c:numCache>
                <c:formatCode>General</c:formatCode>
                <c:ptCount val="1"/>
                <c:pt idx="0">
                  <c:v>9.74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6A-7741-A87D-D511D4B38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164368"/>
        <c:axId val="1372661279"/>
      </c:scatterChart>
      <c:valAx>
        <c:axId val="73016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</a:t>
                </a:r>
                <a:r>
                  <a:rPr lang="en-US" baseline="0"/>
                  <a:t> Added of NaOH (mL)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661279"/>
        <c:crosses val="autoZero"/>
        <c:crossBetween val="midCat"/>
      </c:valAx>
      <c:valAx>
        <c:axId val="13726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6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Histidine</a:t>
            </a:r>
            <a:r>
              <a:rPr lang="en-US"/>
              <a:t> Titration Curve -</a:t>
            </a:r>
            <a:r>
              <a:rPr lang="en-US" baseline="0"/>
              <a:t> 2nd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 VS EQ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'Unknown K'!$G$2:$G$90</c:f>
              <c:numCache>
                <c:formatCode>General</c:formatCode>
                <c:ptCount val="89"/>
                <c:pt idx="0">
                  <c:v>0</c:v>
                </c:pt>
                <c:pt idx="1">
                  <c:v>7.4000000000000024E-2</c:v>
                </c:pt>
                <c:pt idx="2">
                  <c:v>0.12700000000000003</c:v>
                </c:pt>
                <c:pt idx="3">
                  <c:v>0.17599999999999999</c:v>
                </c:pt>
                <c:pt idx="4">
                  <c:v>0.22599999999999998</c:v>
                </c:pt>
                <c:pt idx="5">
                  <c:v>0.28600000000000003</c:v>
                </c:pt>
                <c:pt idx="6">
                  <c:v>0.32699999999999996</c:v>
                </c:pt>
                <c:pt idx="7">
                  <c:v>0.375</c:v>
                </c:pt>
                <c:pt idx="8">
                  <c:v>0.434</c:v>
                </c:pt>
                <c:pt idx="9">
                  <c:v>0.47400000000000003</c:v>
                </c:pt>
                <c:pt idx="10">
                  <c:v>0.51999999999999991</c:v>
                </c:pt>
                <c:pt idx="11">
                  <c:v>0.57499999999999996</c:v>
                </c:pt>
                <c:pt idx="12">
                  <c:v>0.626</c:v>
                </c:pt>
                <c:pt idx="13">
                  <c:v>0.67599999999999993</c:v>
                </c:pt>
                <c:pt idx="14">
                  <c:v>0.72699999999999998</c:v>
                </c:pt>
                <c:pt idx="15">
                  <c:v>0.77500000000000002</c:v>
                </c:pt>
                <c:pt idx="16">
                  <c:v>0.82500000000000007</c:v>
                </c:pt>
                <c:pt idx="17">
                  <c:v>0.88400000000000012</c:v>
                </c:pt>
                <c:pt idx="18">
                  <c:v>0.92599999999999993</c:v>
                </c:pt>
                <c:pt idx="19">
                  <c:v>0.97500000000000009</c:v>
                </c:pt>
                <c:pt idx="20">
                  <c:v>1.0240000000000002</c:v>
                </c:pt>
                <c:pt idx="21">
                  <c:v>1.075</c:v>
                </c:pt>
                <c:pt idx="22">
                  <c:v>1.135</c:v>
                </c:pt>
                <c:pt idx="23">
                  <c:v>1.1740000000000002</c:v>
                </c:pt>
                <c:pt idx="24">
                  <c:v>1.2290000000000001</c:v>
                </c:pt>
                <c:pt idx="25">
                  <c:v>1.2760000000000002</c:v>
                </c:pt>
                <c:pt idx="26">
                  <c:v>1.3359999999999999</c:v>
                </c:pt>
                <c:pt idx="27">
                  <c:v>1.3800000000000001</c:v>
                </c:pt>
                <c:pt idx="28">
                  <c:v>1.4340000000000002</c:v>
                </c:pt>
                <c:pt idx="29">
                  <c:v>1.4770000000000001</c:v>
                </c:pt>
                <c:pt idx="30">
                  <c:v>1.5269999999999999</c:v>
                </c:pt>
                <c:pt idx="31">
                  <c:v>1.5800000000000003</c:v>
                </c:pt>
                <c:pt idx="32">
                  <c:v>1.6309999999999998</c:v>
                </c:pt>
                <c:pt idx="33">
                  <c:v>1.677</c:v>
                </c:pt>
                <c:pt idx="34">
                  <c:v>1.736</c:v>
                </c:pt>
                <c:pt idx="35">
                  <c:v>1.7749999999999999</c:v>
                </c:pt>
                <c:pt idx="36">
                  <c:v>1.8260000000000003</c:v>
                </c:pt>
                <c:pt idx="37">
                  <c:v>1.883</c:v>
                </c:pt>
                <c:pt idx="38">
                  <c:v>1.9269999999999998</c:v>
                </c:pt>
                <c:pt idx="39">
                  <c:v>1.9780000000000002</c:v>
                </c:pt>
                <c:pt idx="40">
                  <c:v>2.0259999999999998</c:v>
                </c:pt>
                <c:pt idx="41">
                  <c:v>2.0760000000000001</c:v>
                </c:pt>
                <c:pt idx="42">
                  <c:v>2.125</c:v>
                </c:pt>
                <c:pt idx="43">
                  <c:v>2.1739999999999999</c:v>
                </c:pt>
                <c:pt idx="44">
                  <c:v>2.226</c:v>
                </c:pt>
                <c:pt idx="45">
                  <c:v>2.2829999999999999</c:v>
                </c:pt>
                <c:pt idx="46">
                  <c:v>2.3289999999999997</c:v>
                </c:pt>
                <c:pt idx="47">
                  <c:v>2.3759999999999999</c:v>
                </c:pt>
                <c:pt idx="48">
                  <c:v>2.4249999999999998</c:v>
                </c:pt>
                <c:pt idx="49">
                  <c:v>2.4760000000000004</c:v>
                </c:pt>
                <c:pt idx="50">
                  <c:v>2.5250000000000004</c:v>
                </c:pt>
                <c:pt idx="51">
                  <c:v>2.5760000000000001</c:v>
                </c:pt>
                <c:pt idx="52">
                  <c:v>2.6300000000000003</c:v>
                </c:pt>
                <c:pt idx="53">
                  <c:v>2.6760000000000002</c:v>
                </c:pt>
                <c:pt idx="54">
                  <c:v>2.7250000000000001</c:v>
                </c:pt>
                <c:pt idx="55">
                  <c:v>2.7749999999999999</c:v>
                </c:pt>
                <c:pt idx="56">
                  <c:v>2.827</c:v>
                </c:pt>
                <c:pt idx="57">
                  <c:v>2.879</c:v>
                </c:pt>
                <c:pt idx="58">
                  <c:v>2.9430000000000001</c:v>
                </c:pt>
                <c:pt idx="59">
                  <c:v>2.9770000000000003</c:v>
                </c:pt>
                <c:pt idx="60">
                  <c:v>3.03</c:v>
                </c:pt>
                <c:pt idx="61">
                  <c:v>3.0750000000000002</c:v>
                </c:pt>
                <c:pt idx="62">
                  <c:v>3.125</c:v>
                </c:pt>
                <c:pt idx="63">
                  <c:v>3.1729999999999996</c:v>
                </c:pt>
                <c:pt idx="64">
                  <c:v>3.2240000000000006</c:v>
                </c:pt>
                <c:pt idx="65">
                  <c:v>3.2759999999999998</c:v>
                </c:pt>
                <c:pt idx="66">
                  <c:v>3.3260000000000001</c:v>
                </c:pt>
                <c:pt idx="67">
                  <c:v>3.3750000000000004</c:v>
                </c:pt>
                <c:pt idx="68">
                  <c:v>3.4260000000000002</c:v>
                </c:pt>
                <c:pt idx="69">
                  <c:v>3.4740000000000002</c:v>
                </c:pt>
                <c:pt idx="70">
                  <c:v>3.5329999999999999</c:v>
                </c:pt>
                <c:pt idx="71">
                  <c:v>3.5760000000000001</c:v>
                </c:pt>
                <c:pt idx="72">
                  <c:v>3.6270000000000002</c:v>
                </c:pt>
                <c:pt idx="73">
                  <c:v>3.673</c:v>
                </c:pt>
                <c:pt idx="74">
                  <c:v>3.726</c:v>
                </c:pt>
                <c:pt idx="75">
                  <c:v>3.7749999999999999</c:v>
                </c:pt>
                <c:pt idx="76">
                  <c:v>3.8259999999999996</c:v>
                </c:pt>
                <c:pt idx="77">
                  <c:v>3.875</c:v>
                </c:pt>
                <c:pt idx="78">
                  <c:v>3.9270000000000009</c:v>
                </c:pt>
                <c:pt idx="79">
                  <c:v>3.9770000000000003</c:v>
                </c:pt>
                <c:pt idx="80">
                  <c:v>4.0259999999999998</c:v>
                </c:pt>
                <c:pt idx="81">
                  <c:v>4.0750000000000002</c:v>
                </c:pt>
                <c:pt idx="82">
                  <c:v>4.1260000000000003</c:v>
                </c:pt>
                <c:pt idx="83">
                  <c:v>4.1750000000000007</c:v>
                </c:pt>
                <c:pt idx="84">
                  <c:v>4.2329999999999997</c:v>
                </c:pt>
                <c:pt idx="85">
                  <c:v>4.2840000000000007</c:v>
                </c:pt>
                <c:pt idx="86">
                  <c:v>4.3299999999999992</c:v>
                </c:pt>
                <c:pt idx="87">
                  <c:v>4.3770000000000007</c:v>
                </c:pt>
                <c:pt idx="88">
                  <c:v>4.4260000000000002</c:v>
                </c:pt>
              </c:numCache>
            </c:numRef>
          </c:xVal>
          <c:yVal>
            <c:numRef>
              <c:f>'Unknown K'!$E$2:$E$90</c:f>
              <c:numCache>
                <c:formatCode>General</c:formatCode>
                <c:ptCount val="89"/>
                <c:pt idx="0">
                  <c:v>2.0499999999999998</c:v>
                </c:pt>
                <c:pt idx="1">
                  <c:v>2.06</c:v>
                </c:pt>
                <c:pt idx="2">
                  <c:v>2.0699999999999998</c:v>
                </c:pt>
                <c:pt idx="3">
                  <c:v>2.08</c:v>
                </c:pt>
                <c:pt idx="4">
                  <c:v>2.09</c:v>
                </c:pt>
                <c:pt idx="5">
                  <c:v>2.1</c:v>
                </c:pt>
                <c:pt idx="6">
                  <c:v>2.11</c:v>
                </c:pt>
                <c:pt idx="7">
                  <c:v>2.12</c:v>
                </c:pt>
                <c:pt idx="8">
                  <c:v>2.12</c:v>
                </c:pt>
                <c:pt idx="9">
                  <c:v>2.13</c:v>
                </c:pt>
                <c:pt idx="10">
                  <c:v>2.14</c:v>
                </c:pt>
                <c:pt idx="11">
                  <c:v>2.15</c:v>
                </c:pt>
                <c:pt idx="12">
                  <c:v>2.16</c:v>
                </c:pt>
                <c:pt idx="13">
                  <c:v>2.17</c:v>
                </c:pt>
                <c:pt idx="14">
                  <c:v>2.1800000000000002</c:v>
                </c:pt>
                <c:pt idx="15">
                  <c:v>2.1800000000000002</c:v>
                </c:pt>
                <c:pt idx="16">
                  <c:v>2.19</c:v>
                </c:pt>
                <c:pt idx="17">
                  <c:v>2.2000000000000002</c:v>
                </c:pt>
                <c:pt idx="18">
                  <c:v>2.21</c:v>
                </c:pt>
                <c:pt idx="19">
                  <c:v>2.2200000000000002</c:v>
                </c:pt>
                <c:pt idx="20">
                  <c:v>2.23</c:v>
                </c:pt>
                <c:pt idx="21">
                  <c:v>2.25</c:v>
                </c:pt>
                <c:pt idx="22">
                  <c:v>2.2599999999999998</c:v>
                </c:pt>
                <c:pt idx="23">
                  <c:v>2.27</c:v>
                </c:pt>
                <c:pt idx="24">
                  <c:v>2.29</c:v>
                </c:pt>
                <c:pt idx="25">
                  <c:v>2.2999999999999998</c:v>
                </c:pt>
                <c:pt idx="26">
                  <c:v>2.3199999999999998</c:v>
                </c:pt>
                <c:pt idx="27">
                  <c:v>2.34</c:v>
                </c:pt>
                <c:pt idx="28">
                  <c:v>2.35</c:v>
                </c:pt>
                <c:pt idx="29">
                  <c:v>2.37</c:v>
                </c:pt>
                <c:pt idx="30">
                  <c:v>2.39</c:v>
                </c:pt>
                <c:pt idx="31">
                  <c:v>2.41</c:v>
                </c:pt>
                <c:pt idx="32">
                  <c:v>2.42</c:v>
                </c:pt>
                <c:pt idx="33">
                  <c:v>2.44</c:v>
                </c:pt>
                <c:pt idx="34">
                  <c:v>2.46</c:v>
                </c:pt>
                <c:pt idx="35">
                  <c:v>2.48</c:v>
                </c:pt>
                <c:pt idx="36">
                  <c:v>2.5099999999999998</c:v>
                </c:pt>
                <c:pt idx="37">
                  <c:v>2.54</c:v>
                </c:pt>
                <c:pt idx="38">
                  <c:v>2.56</c:v>
                </c:pt>
                <c:pt idx="39">
                  <c:v>2.58</c:v>
                </c:pt>
                <c:pt idx="40">
                  <c:v>2.61</c:v>
                </c:pt>
                <c:pt idx="41">
                  <c:v>2.65</c:v>
                </c:pt>
                <c:pt idx="42">
                  <c:v>2.69</c:v>
                </c:pt>
                <c:pt idx="43">
                  <c:v>2.72</c:v>
                </c:pt>
                <c:pt idx="44">
                  <c:v>2.77</c:v>
                </c:pt>
                <c:pt idx="45">
                  <c:v>2.84</c:v>
                </c:pt>
                <c:pt idx="46">
                  <c:v>2.92</c:v>
                </c:pt>
                <c:pt idx="47">
                  <c:v>2.98</c:v>
                </c:pt>
                <c:pt idx="48">
                  <c:v>3.06</c:v>
                </c:pt>
                <c:pt idx="49">
                  <c:v>3.22</c:v>
                </c:pt>
                <c:pt idx="50">
                  <c:v>3.42</c:v>
                </c:pt>
                <c:pt idx="51">
                  <c:v>3.59</c:v>
                </c:pt>
                <c:pt idx="52">
                  <c:v>4.7300000000000004</c:v>
                </c:pt>
                <c:pt idx="53">
                  <c:v>5.15</c:v>
                </c:pt>
                <c:pt idx="54">
                  <c:v>5.4</c:v>
                </c:pt>
                <c:pt idx="55">
                  <c:v>5.63</c:v>
                </c:pt>
                <c:pt idx="56">
                  <c:v>5.77</c:v>
                </c:pt>
                <c:pt idx="57">
                  <c:v>5.9</c:v>
                </c:pt>
                <c:pt idx="58">
                  <c:v>6.13</c:v>
                </c:pt>
                <c:pt idx="59">
                  <c:v>6.2</c:v>
                </c:pt>
                <c:pt idx="60">
                  <c:v>6.34</c:v>
                </c:pt>
                <c:pt idx="61">
                  <c:v>6.48</c:v>
                </c:pt>
                <c:pt idx="62">
                  <c:v>6.64</c:v>
                </c:pt>
                <c:pt idx="63">
                  <c:v>6.8</c:v>
                </c:pt>
                <c:pt idx="64">
                  <c:v>7.1</c:v>
                </c:pt>
                <c:pt idx="65">
                  <c:v>7.46</c:v>
                </c:pt>
                <c:pt idx="66">
                  <c:v>8</c:v>
                </c:pt>
                <c:pt idx="67">
                  <c:v>8.31</c:v>
                </c:pt>
                <c:pt idx="68">
                  <c:v>8.6199999999999992</c:v>
                </c:pt>
                <c:pt idx="69">
                  <c:v>8.81</c:v>
                </c:pt>
                <c:pt idx="70">
                  <c:v>8.9700000000000006</c:v>
                </c:pt>
                <c:pt idx="71">
                  <c:v>9.09</c:v>
                </c:pt>
                <c:pt idx="72">
                  <c:v>9.16</c:v>
                </c:pt>
                <c:pt idx="73">
                  <c:v>9.2799999999999994</c:v>
                </c:pt>
                <c:pt idx="74">
                  <c:v>9.3800000000000008</c:v>
                </c:pt>
                <c:pt idx="75">
                  <c:v>9.44</c:v>
                </c:pt>
                <c:pt idx="76">
                  <c:v>9.58</c:v>
                </c:pt>
                <c:pt idx="77">
                  <c:v>9.65</c:v>
                </c:pt>
                <c:pt idx="78">
                  <c:v>9.7799999999999994</c:v>
                </c:pt>
                <c:pt idx="79">
                  <c:v>9.9</c:v>
                </c:pt>
                <c:pt idx="80">
                  <c:v>10.01</c:v>
                </c:pt>
                <c:pt idx="81">
                  <c:v>10.1</c:v>
                </c:pt>
                <c:pt idx="82">
                  <c:v>10.220000000000001</c:v>
                </c:pt>
                <c:pt idx="83">
                  <c:v>10.4</c:v>
                </c:pt>
                <c:pt idx="84">
                  <c:v>10.6</c:v>
                </c:pt>
                <c:pt idx="85">
                  <c:v>10.74</c:v>
                </c:pt>
                <c:pt idx="86">
                  <c:v>10.87</c:v>
                </c:pt>
                <c:pt idx="87">
                  <c:v>10.96</c:v>
                </c:pt>
                <c:pt idx="88">
                  <c:v>11.04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97-6845-B1FF-59869E7FD56A}"/>
            </c:ext>
          </c:extLst>
        </c:ser>
        <c:ser>
          <c:idx val="1"/>
          <c:order val="1"/>
          <c:tx>
            <c:v>EQ1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5"/>
                </a:solidFill>
                <a:prstDash val="dash"/>
                <a:round/>
              </a:ln>
              <a:effectLst/>
            </c:spPr>
          </c:errBars>
          <c:xVal>
            <c:numRef>
              <c:f>'Unknown K'!$R$5</c:f>
              <c:numCache>
                <c:formatCode>General</c:formatCode>
                <c:ptCount val="1"/>
                <c:pt idx="0">
                  <c:v>1.927</c:v>
                </c:pt>
              </c:numCache>
            </c:numRef>
          </c:xVal>
          <c:yVal>
            <c:numRef>
              <c:f>'Unknown K'!$S$5</c:f>
              <c:numCache>
                <c:formatCode>General</c:formatCode>
                <c:ptCount val="1"/>
                <c:pt idx="0">
                  <c:v>2.56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97-6845-B1FF-59869E7FD56A}"/>
            </c:ext>
          </c:extLst>
        </c:ser>
        <c:ser>
          <c:idx val="2"/>
          <c:order val="2"/>
          <c:tx>
            <c:v>Half-eq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'Unknown K'!$R$10</c:f>
              <c:numCache>
                <c:formatCode>General</c:formatCode>
                <c:ptCount val="1"/>
                <c:pt idx="0">
                  <c:v>1.58</c:v>
                </c:pt>
              </c:numCache>
            </c:numRef>
          </c:xVal>
          <c:yVal>
            <c:numRef>
              <c:f>'Unknown K'!$S$10</c:f>
              <c:numCache>
                <c:formatCode>General</c:formatCode>
                <c:ptCount val="1"/>
                <c:pt idx="0">
                  <c:v>2.41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97-6845-B1FF-59869E7FD56A}"/>
            </c:ext>
          </c:extLst>
        </c:ser>
        <c:ser>
          <c:idx val="3"/>
          <c:order val="3"/>
          <c:tx>
            <c:v>EQ2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5"/>
                </a:solidFill>
                <a:prstDash val="dash"/>
                <a:round/>
              </a:ln>
              <a:effectLst/>
            </c:spPr>
          </c:errBars>
          <c:xVal>
            <c:numRef>
              <c:f>'Unknown K'!$R$15</c:f>
              <c:numCache>
                <c:formatCode>General</c:formatCode>
                <c:ptCount val="1"/>
                <c:pt idx="0">
                  <c:v>2.63</c:v>
                </c:pt>
              </c:numCache>
            </c:numRef>
          </c:xVal>
          <c:yVal>
            <c:numRef>
              <c:f>'Unknown K'!$S$15</c:f>
              <c:numCache>
                <c:formatCode>General</c:formatCode>
                <c:ptCount val="1"/>
                <c:pt idx="0">
                  <c:v>4.7300000000000004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97-6845-B1FF-59869E7FD56A}"/>
            </c:ext>
          </c:extLst>
        </c:ser>
        <c:ser>
          <c:idx val="4"/>
          <c:order val="4"/>
          <c:tx>
            <c:v>Half-eq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'Unknown K'!$R$20</c:f>
              <c:numCache>
                <c:formatCode>General</c:formatCode>
                <c:ptCount val="1"/>
                <c:pt idx="0">
                  <c:v>2.2829999999999999</c:v>
                </c:pt>
              </c:numCache>
            </c:numRef>
          </c:xVal>
          <c:yVal>
            <c:numRef>
              <c:f>'Unknown K'!$S$20</c:f>
              <c:numCache>
                <c:formatCode>General</c:formatCode>
                <c:ptCount val="1"/>
                <c:pt idx="0">
                  <c:v>2.84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97-6845-B1FF-59869E7FD56A}"/>
            </c:ext>
          </c:extLst>
        </c:ser>
        <c:ser>
          <c:idx val="5"/>
          <c:order val="5"/>
          <c:tx>
            <c:v>EQ3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5"/>
                </a:solidFill>
                <a:prstDash val="dash"/>
                <a:round/>
              </a:ln>
              <a:effectLst/>
            </c:spPr>
          </c:errBars>
          <c:xVal>
            <c:numRef>
              <c:f>'Unknown K'!$R$25</c:f>
              <c:numCache>
                <c:formatCode>General</c:formatCode>
                <c:ptCount val="1"/>
                <c:pt idx="0">
                  <c:v>3.3260000000000001</c:v>
                </c:pt>
              </c:numCache>
            </c:numRef>
          </c:xVal>
          <c:yVal>
            <c:numRef>
              <c:f>'Unknown K'!$S$25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97-6845-B1FF-59869E7FD56A}"/>
            </c:ext>
          </c:extLst>
        </c:ser>
        <c:ser>
          <c:idx val="6"/>
          <c:order val="6"/>
          <c:tx>
            <c:v>Half-eq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'Unknown K'!$R$30</c:f>
              <c:numCache>
                <c:formatCode>General</c:formatCode>
                <c:ptCount val="1"/>
                <c:pt idx="0">
                  <c:v>2.9769999999999999</c:v>
                </c:pt>
              </c:numCache>
            </c:numRef>
          </c:xVal>
          <c:yVal>
            <c:numRef>
              <c:f>'Unknown K'!$S$30</c:f>
              <c:numCache>
                <c:formatCode>General</c:formatCode>
                <c:ptCount val="1"/>
                <c:pt idx="0">
                  <c:v>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A97-6845-B1FF-59869E7FD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164368"/>
        <c:axId val="1372661279"/>
      </c:scatterChart>
      <c:valAx>
        <c:axId val="73016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Equivalents</a:t>
                </a:r>
                <a:r>
                  <a:rPr lang="en-US" baseline="0"/>
                  <a:t> Added of NaOH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661279"/>
        <c:crosses val="autoZero"/>
        <c:crossBetween val="midCat"/>
      </c:valAx>
      <c:valAx>
        <c:axId val="13726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6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Histidine</a:t>
            </a:r>
            <a:r>
              <a:rPr lang="en-US" baseline="0"/>
              <a:t> </a:t>
            </a:r>
            <a:r>
              <a:rPr lang="en-US"/>
              <a:t>Titration Curve - 2nd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 VS EQ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'Unknown K - Volume'!$D$2:$D$90</c:f>
              <c:numCache>
                <c:formatCode>General</c:formatCode>
                <c:ptCount val="89"/>
                <c:pt idx="0">
                  <c:v>0</c:v>
                </c:pt>
                <c:pt idx="1">
                  <c:v>0.74000000000000021</c:v>
                </c:pt>
                <c:pt idx="2">
                  <c:v>1.27</c:v>
                </c:pt>
                <c:pt idx="3">
                  <c:v>1.7599999999999998</c:v>
                </c:pt>
                <c:pt idx="4">
                  <c:v>2.2599999999999998</c:v>
                </c:pt>
                <c:pt idx="5">
                  <c:v>2.8600000000000003</c:v>
                </c:pt>
                <c:pt idx="6">
                  <c:v>3.2699999999999996</c:v>
                </c:pt>
                <c:pt idx="7">
                  <c:v>3.75</c:v>
                </c:pt>
                <c:pt idx="8">
                  <c:v>4.34</c:v>
                </c:pt>
                <c:pt idx="9">
                  <c:v>4.74</c:v>
                </c:pt>
                <c:pt idx="10">
                  <c:v>5.2</c:v>
                </c:pt>
                <c:pt idx="11">
                  <c:v>5.75</c:v>
                </c:pt>
                <c:pt idx="12">
                  <c:v>6.26</c:v>
                </c:pt>
                <c:pt idx="13">
                  <c:v>6.76</c:v>
                </c:pt>
                <c:pt idx="14">
                  <c:v>7.27</c:v>
                </c:pt>
                <c:pt idx="15">
                  <c:v>7.75</c:v>
                </c:pt>
                <c:pt idx="16">
                  <c:v>8.25</c:v>
                </c:pt>
                <c:pt idx="17">
                  <c:v>8.84</c:v>
                </c:pt>
                <c:pt idx="18">
                  <c:v>9.26</c:v>
                </c:pt>
                <c:pt idx="19">
                  <c:v>9.75</c:v>
                </c:pt>
                <c:pt idx="20">
                  <c:v>10.24</c:v>
                </c:pt>
                <c:pt idx="21">
                  <c:v>10.75</c:v>
                </c:pt>
                <c:pt idx="22">
                  <c:v>11.35</c:v>
                </c:pt>
                <c:pt idx="23">
                  <c:v>11.74</c:v>
                </c:pt>
                <c:pt idx="24">
                  <c:v>12.29</c:v>
                </c:pt>
                <c:pt idx="25">
                  <c:v>12.76</c:v>
                </c:pt>
                <c:pt idx="26">
                  <c:v>13.36</c:v>
                </c:pt>
                <c:pt idx="27">
                  <c:v>13.8</c:v>
                </c:pt>
                <c:pt idx="28">
                  <c:v>14.34</c:v>
                </c:pt>
                <c:pt idx="29">
                  <c:v>14.77</c:v>
                </c:pt>
                <c:pt idx="30">
                  <c:v>15.27</c:v>
                </c:pt>
                <c:pt idx="31">
                  <c:v>15.8</c:v>
                </c:pt>
                <c:pt idx="32">
                  <c:v>16.309999999999999</c:v>
                </c:pt>
                <c:pt idx="33">
                  <c:v>16.77</c:v>
                </c:pt>
                <c:pt idx="34">
                  <c:v>17.36</c:v>
                </c:pt>
                <c:pt idx="35">
                  <c:v>17.75</c:v>
                </c:pt>
                <c:pt idx="36">
                  <c:v>18.260000000000002</c:v>
                </c:pt>
                <c:pt idx="37">
                  <c:v>18.829999999999998</c:v>
                </c:pt>
                <c:pt idx="38">
                  <c:v>19.27</c:v>
                </c:pt>
                <c:pt idx="39">
                  <c:v>19.78</c:v>
                </c:pt>
                <c:pt idx="40">
                  <c:v>20.260000000000002</c:v>
                </c:pt>
                <c:pt idx="41">
                  <c:v>20.76</c:v>
                </c:pt>
                <c:pt idx="42">
                  <c:v>21.25</c:v>
                </c:pt>
                <c:pt idx="43">
                  <c:v>21.74</c:v>
                </c:pt>
                <c:pt idx="44">
                  <c:v>22.26</c:v>
                </c:pt>
                <c:pt idx="45">
                  <c:v>22.83</c:v>
                </c:pt>
                <c:pt idx="46">
                  <c:v>23.29</c:v>
                </c:pt>
                <c:pt idx="47">
                  <c:v>23.76</c:v>
                </c:pt>
                <c:pt idx="48">
                  <c:v>24.25</c:v>
                </c:pt>
                <c:pt idx="49">
                  <c:v>24.76</c:v>
                </c:pt>
                <c:pt idx="50">
                  <c:v>25.25</c:v>
                </c:pt>
                <c:pt idx="51">
                  <c:v>25.76</c:v>
                </c:pt>
                <c:pt idx="52">
                  <c:v>26.3</c:v>
                </c:pt>
                <c:pt idx="53">
                  <c:v>26.76</c:v>
                </c:pt>
                <c:pt idx="54">
                  <c:v>27.25</c:v>
                </c:pt>
                <c:pt idx="55">
                  <c:v>27.75</c:v>
                </c:pt>
                <c:pt idx="56">
                  <c:v>28.27</c:v>
                </c:pt>
                <c:pt idx="57">
                  <c:v>28.79</c:v>
                </c:pt>
                <c:pt idx="58">
                  <c:v>29.43</c:v>
                </c:pt>
                <c:pt idx="59">
                  <c:v>29.770000000000003</c:v>
                </c:pt>
                <c:pt idx="60">
                  <c:v>30.299999999999997</c:v>
                </c:pt>
                <c:pt idx="61">
                  <c:v>30.75</c:v>
                </c:pt>
                <c:pt idx="62">
                  <c:v>31.25</c:v>
                </c:pt>
                <c:pt idx="63">
                  <c:v>31.729999999999997</c:v>
                </c:pt>
                <c:pt idx="64">
                  <c:v>32.24</c:v>
                </c:pt>
                <c:pt idx="65">
                  <c:v>32.76</c:v>
                </c:pt>
                <c:pt idx="66">
                  <c:v>33.26</c:v>
                </c:pt>
                <c:pt idx="67">
                  <c:v>33.75</c:v>
                </c:pt>
                <c:pt idx="68">
                  <c:v>34.26</c:v>
                </c:pt>
                <c:pt idx="69">
                  <c:v>34.74</c:v>
                </c:pt>
                <c:pt idx="70">
                  <c:v>35.33</c:v>
                </c:pt>
                <c:pt idx="71">
                  <c:v>35.76</c:v>
                </c:pt>
                <c:pt idx="72">
                  <c:v>36.270000000000003</c:v>
                </c:pt>
                <c:pt idx="73">
                  <c:v>36.729999999999997</c:v>
                </c:pt>
                <c:pt idx="74">
                  <c:v>37.26</c:v>
                </c:pt>
                <c:pt idx="75">
                  <c:v>37.75</c:v>
                </c:pt>
                <c:pt idx="76">
                  <c:v>38.26</c:v>
                </c:pt>
                <c:pt idx="77">
                  <c:v>38.75</c:v>
                </c:pt>
                <c:pt idx="78">
                  <c:v>39.270000000000003</c:v>
                </c:pt>
                <c:pt idx="79">
                  <c:v>39.770000000000003</c:v>
                </c:pt>
                <c:pt idx="80">
                  <c:v>40.26</c:v>
                </c:pt>
                <c:pt idx="81">
                  <c:v>40.75</c:v>
                </c:pt>
                <c:pt idx="82">
                  <c:v>41.26</c:v>
                </c:pt>
                <c:pt idx="83">
                  <c:v>41.75</c:v>
                </c:pt>
                <c:pt idx="84">
                  <c:v>42.33</c:v>
                </c:pt>
                <c:pt idx="85">
                  <c:v>42.84</c:v>
                </c:pt>
                <c:pt idx="86">
                  <c:v>43.3</c:v>
                </c:pt>
                <c:pt idx="87">
                  <c:v>43.77</c:v>
                </c:pt>
                <c:pt idx="88">
                  <c:v>44.26</c:v>
                </c:pt>
              </c:numCache>
            </c:numRef>
          </c:xVal>
          <c:yVal>
            <c:numRef>
              <c:f>'Unknown K - Volume'!$E$2:$E$90</c:f>
              <c:numCache>
                <c:formatCode>General</c:formatCode>
                <c:ptCount val="89"/>
                <c:pt idx="0">
                  <c:v>2.0499999999999998</c:v>
                </c:pt>
                <c:pt idx="1">
                  <c:v>2.06</c:v>
                </c:pt>
                <c:pt idx="2">
                  <c:v>2.0699999999999998</c:v>
                </c:pt>
                <c:pt idx="3">
                  <c:v>2.08</c:v>
                </c:pt>
                <c:pt idx="4">
                  <c:v>2.09</c:v>
                </c:pt>
                <c:pt idx="5">
                  <c:v>2.1</c:v>
                </c:pt>
                <c:pt idx="6">
                  <c:v>2.11</c:v>
                </c:pt>
                <c:pt idx="7">
                  <c:v>2.12</c:v>
                </c:pt>
                <c:pt idx="8">
                  <c:v>2.12</c:v>
                </c:pt>
                <c:pt idx="9">
                  <c:v>2.13</c:v>
                </c:pt>
                <c:pt idx="10">
                  <c:v>2.14</c:v>
                </c:pt>
                <c:pt idx="11">
                  <c:v>2.15</c:v>
                </c:pt>
                <c:pt idx="12">
                  <c:v>2.16</c:v>
                </c:pt>
                <c:pt idx="13">
                  <c:v>2.17</c:v>
                </c:pt>
                <c:pt idx="14">
                  <c:v>2.1800000000000002</c:v>
                </c:pt>
                <c:pt idx="15">
                  <c:v>2.1800000000000002</c:v>
                </c:pt>
                <c:pt idx="16">
                  <c:v>2.19</c:v>
                </c:pt>
                <c:pt idx="17">
                  <c:v>2.2000000000000002</c:v>
                </c:pt>
                <c:pt idx="18">
                  <c:v>2.21</c:v>
                </c:pt>
                <c:pt idx="19">
                  <c:v>2.2200000000000002</c:v>
                </c:pt>
                <c:pt idx="20">
                  <c:v>2.23</c:v>
                </c:pt>
                <c:pt idx="21">
                  <c:v>2.25</c:v>
                </c:pt>
                <c:pt idx="22">
                  <c:v>2.2599999999999998</c:v>
                </c:pt>
                <c:pt idx="23">
                  <c:v>2.27</c:v>
                </c:pt>
                <c:pt idx="24">
                  <c:v>2.29</c:v>
                </c:pt>
                <c:pt idx="25">
                  <c:v>2.2999999999999998</c:v>
                </c:pt>
                <c:pt idx="26">
                  <c:v>2.3199999999999998</c:v>
                </c:pt>
                <c:pt idx="27">
                  <c:v>2.34</c:v>
                </c:pt>
                <c:pt idx="28">
                  <c:v>2.35</c:v>
                </c:pt>
                <c:pt idx="29">
                  <c:v>2.37</c:v>
                </c:pt>
                <c:pt idx="30">
                  <c:v>2.39</c:v>
                </c:pt>
                <c:pt idx="31">
                  <c:v>2.41</c:v>
                </c:pt>
                <c:pt idx="32">
                  <c:v>2.42</c:v>
                </c:pt>
                <c:pt idx="33">
                  <c:v>2.44</c:v>
                </c:pt>
                <c:pt idx="34">
                  <c:v>2.46</c:v>
                </c:pt>
                <c:pt idx="35">
                  <c:v>2.48</c:v>
                </c:pt>
                <c:pt idx="36">
                  <c:v>2.5099999999999998</c:v>
                </c:pt>
                <c:pt idx="37">
                  <c:v>2.54</c:v>
                </c:pt>
                <c:pt idx="38">
                  <c:v>2.56</c:v>
                </c:pt>
                <c:pt idx="39">
                  <c:v>2.58</c:v>
                </c:pt>
                <c:pt idx="40">
                  <c:v>2.61</c:v>
                </c:pt>
                <c:pt idx="41">
                  <c:v>2.65</c:v>
                </c:pt>
                <c:pt idx="42">
                  <c:v>2.69</c:v>
                </c:pt>
                <c:pt idx="43">
                  <c:v>2.72</c:v>
                </c:pt>
                <c:pt idx="44">
                  <c:v>2.77</c:v>
                </c:pt>
                <c:pt idx="45">
                  <c:v>2.84</c:v>
                </c:pt>
                <c:pt idx="46">
                  <c:v>2.92</c:v>
                </c:pt>
                <c:pt idx="47">
                  <c:v>2.98</c:v>
                </c:pt>
                <c:pt idx="48">
                  <c:v>3.06</c:v>
                </c:pt>
                <c:pt idx="49">
                  <c:v>3.22</c:v>
                </c:pt>
                <c:pt idx="50">
                  <c:v>3.42</c:v>
                </c:pt>
                <c:pt idx="51">
                  <c:v>3.59</c:v>
                </c:pt>
                <c:pt idx="52">
                  <c:v>4.7300000000000004</c:v>
                </c:pt>
                <c:pt idx="53">
                  <c:v>5.15</c:v>
                </c:pt>
                <c:pt idx="54">
                  <c:v>5.4</c:v>
                </c:pt>
                <c:pt idx="55">
                  <c:v>5.63</c:v>
                </c:pt>
                <c:pt idx="56">
                  <c:v>5.77</c:v>
                </c:pt>
                <c:pt idx="57">
                  <c:v>5.9</c:v>
                </c:pt>
                <c:pt idx="58">
                  <c:v>6.13</c:v>
                </c:pt>
                <c:pt idx="59">
                  <c:v>6.2</c:v>
                </c:pt>
                <c:pt idx="60">
                  <c:v>6.34</c:v>
                </c:pt>
                <c:pt idx="61">
                  <c:v>6.48</c:v>
                </c:pt>
                <c:pt idx="62">
                  <c:v>6.64</c:v>
                </c:pt>
                <c:pt idx="63">
                  <c:v>6.8</c:v>
                </c:pt>
                <c:pt idx="64">
                  <c:v>7.1</c:v>
                </c:pt>
                <c:pt idx="65">
                  <c:v>7.46</c:v>
                </c:pt>
                <c:pt idx="66">
                  <c:v>8</c:v>
                </c:pt>
                <c:pt idx="67">
                  <c:v>8.31</c:v>
                </c:pt>
                <c:pt idx="68">
                  <c:v>8.6199999999999992</c:v>
                </c:pt>
                <c:pt idx="69">
                  <c:v>8.81</c:v>
                </c:pt>
                <c:pt idx="70">
                  <c:v>8.9700000000000006</c:v>
                </c:pt>
                <c:pt idx="71">
                  <c:v>9.09</c:v>
                </c:pt>
                <c:pt idx="72">
                  <c:v>9.16</c:v>
                </c:pt>
                <c:pt idx="73">
                  <c:v>9.2799999999999994</c:v>
                </c:pt>
                <c:pt idx="74">
                  <c:v>9.3800000000000008</c:v>
                </c:pt>
                <c:pt idx="75">
                  <c:v>9.44</c:v>
                </c:pt>
                <c:pt idx="76">
                  <c:v>9.58</c:v>
                </c:pt>
                <c:pt idx="77">
                  <c:v>9.65</c:v>
                </c:pt>
                <c:pt idx="78">
                  <c:v>9.7799999999999994</c:v>
                </c:pt>
                <c:pt idx="79">
                  <c:v>9.9</c:v>
                </c:pt>
                <c:pt idx="80">
                  <c:v>10.01</c:v>
                </c:pt>
                <c:pt idx="81">
                  <c:v>10.1</c:v>
                </c:pt>
                <c:pt idx="82">
                  <c:v>10.220000000000001</c:v>
                </c:pt>
                <c:pt idx="83">
                  <c:v>10.4</c:v>
                </c:pt>
                <c:pt idx="84">
                  <c:v>10.6</c:v>
                </c:pt>
                <c:pt idx="85">
                  <c:v>10.74</c:v>
                </c:pt>
                <c:pt idx="86">
                  <c:v>10.87</c:v>
                </c:pt>
                <c:pt idx="87">
                  <c:v>10.96</c:v>
                </c:pt>
                <c:pt idx="88">
                  <c:v>11.04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32-9E48-88EC-051DE414E846}"/>
            </c:ext>
          </c:extLst>
        </c:ser>
        <c:ser>
          <c:idx val="1"/>
          <c:order val="1"/>
          <c:tx>
            <c:v>EQ1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5"/>
                </a:solidFill>
                <a:prstDash val="dash"/>
                <a:round/>
              </a:ln>
              <a:effectLst/>
            </c:spPr>
          </c:errBars>
          <c:xVal>
            <c:numRef>
              <c:f>'Unknown K - Volume'!$R$5</c:f>
              <c:numCache>
                <c:formatCode>General</c:formatCode>
                <c:ptCount val="1"/>
                <c:pt idx="0">
                  <c:v>19.27</c:v>
                </c:pt>
              </c:numCache>
            </c:numRef>
          </c:xVal>
          <c:yVal>
            <c:numRef>
              <c:f>'Unknown K - Volume'!$S$5</c:f>
              <c:numCache>
                <c:formatCode>General</c:formatCode>
                <c:ptCount val="1"/>
                <c:pt idx="0">
                  <c:v>2.56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32-9E48-88EC-051DE414E846}"/>
            </c:ext>
          </c:extLst>
        </c:ser>
        <c:ser>
          <c:idx val="2"/>
          <c:order val="2"/>
          <c:tx>
            <c:v>Half-eq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'Unknown K - Volume'!$R$10</c:f>
              <c:numCache>
                <c:formatCode>General</c:formatCode>
                <c:ptCount val="1"/>
                <c:pt idx="0">
                  <c:v>15.8</c:v>
                </c:pt>
              </c:numCache>
            </c:numRef>
          </c:xVal>
          <c:yVal>
            <c:numRef>
              <c:f>'Unknown K - Volume'!$S$10</c:f>
              <c:numCache>
                <c:formatCode>General</c:formatCode>
                <c:ptCount val="1"/>
                <c:pt idx="0">
                  <c:v>2.41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32-9E48-88EC-051DE414E846}"/>
            </c:ext>
          </c:extLst>
        </c:ser>
        <c:ser>
          <c:idx val="3"/>
          <c:order val="3"/>
          <c:tx>
            <c:v>EQ2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5"/>
                </a:solidFill>
                <a:prstDash val="dash"/>
                <a:round/>
              </a:ln>
              <a:effectLst/>
            </c:spPr>
          </c:errBars>
          <c:xVal>
            <c:numRef>
              <c:f>'Unknown K - Volume'!$R$15</c:f>
              <c:numCache>
                <c:formatCode>General</c:formatCode>
                <c:ptCount val="1"/>
                <c:pt idx="0">
                  <c:v>26.3</c:v>
                </c:pt>
              </c:numCache>
            </c:numRef>
          </c:xVal>
          <c:yVal>
            <c:numRef>
              <c:f>'Unknown K - Volume'!$S$15</c:f>
              <c:numCache>
                <c:formatCode>General</c:formatCode>
                <c:ptCount val="1"/>
                <c:pt idx="0">
                  <c:v>4.7300000000000004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32-9E48-88EC-051DE414E846}"/>
            </c:ext>
          </c:extLst>
        </c:ser>
        <c:ser>
          <c:idx val="4"/>
          <c:order val="4"/>
          <c:tx>
            <c:v>Half-eq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'Unknown K - Volume'!$R$20</c:f>
              <c:numCache>
                <c:formatCode>General</c:formatCode>
                <c:ptCount val="1"/>
                <c:pt idx="0">
                  <c:v>22.83</c:v>
                </c:pt>
              </c:numCache>
            </c:numRef>
          </c:xVal>
          <c:yVal>
            <c:numRef>
              <c:f>'Unknown K - Volume'!$S$20</c:f>
              <c:numCache>
                <c:formatCode>General</c:formatCode>
                <c:ptCount val="1"/>
                <c:pt idx="0">
                  <c:v>2.84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32-9E48-88EC-051DE414E846}"/>
            </c:ext>
          </c:extLst>
        </c:ser>
        <c:ser>
          <c:idx val="5"/>
          <c:order val="5"/>
          <c:tx>
            <c:v>EQ3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5"/>
                </a:solidFill>
                <a:prstDash val="dash"/>
                <a:round/>
              </a:ln>
              <a:effectLst/>
            </c:spPr>
          </c:errBars>
          <c:xVal>
            <c:numRef>
              <c:f>'Unknown K - Volume'!$R$25</c:f>
              <c:numCache>
                <c:formatCode>General</c:formatCode>
                <c:ptCount val="1"/>
                <c:pt idx="0">
                  <c:v>33.26</c:v>
                </c:pt>
              </c:numCache>
            </c:numRef>
          </c:xVal>
          <c:yVal>
            <c:numRef>
              <c:f>'Unknown K - Volume'!$S$25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32-9E48-88EC-051DE414E846}"/>
            </c:ext>
          </c:extLst>
        </c:ser>
        <c:ser>
          <c:idx val="6"/>
          <c:order val="6"/>
          <c:tx>
            <c:v>Half-eq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'Unknown K - Volume'!$R$30</c:f>
              <c:numCache>
                <c:formatCode>General</c:formatCode>
                <c:ptCount val="1"/>
                <c:pt idx="0">
                  <c:v>29.77</c:v>
                </c:pt>
              </c:numCache>
            </c:numRef>
          </c:xVal>
          <c:yVal>
            <c:numRef>
              <c:f>'Unknown K - Volume'!$S$30</c:f>
              <c:numCache>
                <c:formatCode>General</c:formatCode>
                <c:ptCount val="1"/>
                <c:pt idx="0">
                  <c:v>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732-9E48-88EC-051DE414E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164368"/>
        <c:axId val="1372661279"/>
      </c:scatterChart>
      <c:valAx>
        <c:axId val="73016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</a:t>
                </a:r>
                <a:r>
                  <a:rPr lang="en-US" baseline="0"/>
                  <a:t> Added of NaOH (mL)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661279"/>
        <c:crosses val="autoZero"/>
        <c:crossBetween val="midCat"/>
      </c:valAx>
      <c:valAx>
        <c:axId val="13726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6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79258</xdr:colOff>
      <xdr:row>0</xdr:row>
      <xdr:rowOff>329258</xdr:rowOff>
    </xdr:from>
    <xdr:to>
      <xdr:col>16</xdr:col>
      <xdr:colOff>165571</xdr:colOff>
      <xdr:row>15</xdr:row>
      <xdr:rowOff>173182</xdr:rowOff>
    </xdr:to>
    <xdr:graphicFrame macro="">
      <xdr:nvGraphicFramePr>
        <xdr:cNvPr id="30" name="Chart 1">
          <a:extLst>
            <a:ext uri="{FF2B5EF4-FFF2-40B4-BE49-F238E27FC236}">
              <a16:creationId xmlns:a16="http://schemas.microsoft.com/office/drawing/2014/main" id="{7DED5213-EBD8-33AB-4F10-21F2F18A4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498147</xdr:colOff>
      <xdr:row>10</xdr:row>
      <xdr:rowOff>60216</xdr:rowOff>
    </xdr:from>
    <xdr:to>
      <xdr:col>13</xdr:col>
      <xdr:colOff>114957</xdr:colOff>
      <xdr:row>11</xdr:row>
      <xdr:rowOff>60217</xdr:rowOff>
    </xdr:to>
    <xdr:sp macro="" textlink="">
      <xdr:nvSpPr>
        <xdr:cNvPr id="182" name="Rectangle 2">
          <a:extLst>
            <a:ext uri="{FF2B5EF4-FFF2-40B4-BE49-F238E27FC236}">
              <a16:creationId xmlns:a16="http://schemas.microsoft.com/office/drawing/2014/main" id="{6B531D70-3074-6250-CAD9-053CF9A98873}"/>
            </a:ext>
          </a:extLst>
        </xdr:cNvPr>
        <xdr:cNvSpPr/>
      </xdr:nvSpPr>
      <xdr:spPr>
        <a:xfrm>
          <a:off x="16657802" y="2479785"/>
          <a:ext cx="454353" cy="20254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164223</xdr:colOff>
      <xdr:row>9</xdr:row>
      <xdr:rowOff>107235</xdr:rowOff>
    </xdr:from>
    <xdr:to>
      <xdr:col>13</xdr:col>
      <xdr:colOff>520406</xdr:colOff>
      <xdr:row>11</xdr:row>
      <xdr:rowOff>15548</xdr:rowOff>
    </xdr:to>
    <xdr:sp macro="" textlink="">
      <xdr:nvSpPr>
        <xdr:cNvPr id="184" name="Rectangle 3">
          <a:extLst>
            <a:ext uri="{FF2B5EF4-FFF2-40B4-BE49-F238E27FC236}">
              <a16:creationId xmlns:a16="http://schemas.microsoft.com/office/drawing/2014/main" id="{10944CD2-D974-9F4D-BDB5-2A9355AA9A8B}"/>
            </a:ext>
          </a:extLst>
        </xdr:cNvPr>
        <xdr:cNvSpPr/>
      </xdr:nvSpPr>
      <xdr:spPr>
        <a:xfrm>
          <a:off x="17164140" y="2264553"/>
          <a:ext cx="356183" cy="3057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542484</xdr:colOff>
      <xdr:row>5</xdr:row>
      <xdr:rowOff>131380</xdr:rowOff>
    </xdr:from>
    <xdr:to>
      <xdr:col>14</xdr:col>
      <xdr:colOff>142328</xdr:colOff>
      <xdr:row>9</xdr:row>
      <xdr:rowOff>18924</xdr:rowOff>
    </xdr:to>
    <xdr:sp macro="" textlink="">
      <xdr:nvSpPr>
        <xdr:cNvPr id="188" name="Rectangle 4">
          <a:extLst>
            <a:ext uri="{FF2B5EF4-FFF2-40B4-BE49-F238E27FC236}">
              <a16:creationId xmlns:a16="http://schemas.microsoft.com/office/drawing/2014/main" id="{ED06C91E-5308-BE43-964A-07D702022DDF}"/>
            </a:ext>
          </a:extLst>
        </xdr:cNvPr>
        <xdr:cNvSpPr/>
      </xdr:nvSpPr>
      <xdr:spPr>
        <a:xfrm>
          <a:off x="17542401" y="1493897"/>
          <a:ext cx="438801" cy="6823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473097</xdr:colOff>
      <xdr:row>11</xdr:row>
      <xdr:rowOff>20574</xdr:rowOff>
    </xdr:from>
    <xdr:to>
      <xdr:col>13</xdr:col>
      <xdr:colOff>207747</xdr:colOff>
      <xdr:row>12</xdr:row>
      <xdr:rowOff>73808</xdr:rowOff>
    </xdr:to>
    <xdr:sp macro="" textlink="">
      <xdr:nvSpPr>
        <xdr:cNvPr id="224" name="TextBox 5">
          <a:extLst>
            <a:ext uri="{FF2B5EF4-FFF2-40B4-BE49-F238E27FC236}">
              <a16:creationId xmlns:a16="http://schemas.microsoft.com/office/drawing/2014/main" id="{778224B8-5A19-AB48-79B2-F3743FDA5895}"/>
            </a:ext>
          </a:extLst>
        </xdr:cNvPr>
        <xdr:cNvSpPr txBox="1"/>
      </xdr:nvSpPr>
      <xdr:spPr>
        <a:xfrm>
          <a:off x="16634057" y="2575293"/>
          <a:ext cx="573607" cy="251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pKa</a:t>
          </a:r>
          <a:r>
            <a:rPr lang="en-US" sz="800" baseline="0"/>
            <a:t> 2.26</a:t>
          </a:r>
          <a:endParaRPr lang="en-US" sz="800"/>
        </a:p>
      </xdr:txBody>
    </xdr:sp>
    <xdr:clientData/>
  </xdr:twoCellAnchor>
  <xdr:twoCellAnchor>
    <xdr:from>
      <xdr:col>13</xdr:col>
      <xdr:colOff>85158</xdr:colOff>
      <xdr:row>10</xdr:row>
      <xdr:rowOff>191193</xdr:rowOff>
    </xdr:from>
    <xdr:to>
      <xdr:col>13</xdr:col>
      <xdr:colOff>666806</xdr:colOff>
      <xdr:row>11</xdr:row>
      <xdr:rowOff>179032</xdr:rowOff>
    </xdr:to>
    <xdr:sp macro="" textlink="">
      <xdr:nvSpPr>
        <xdr:cNvPr id="220" name="TextBox 6">
          <a:extLst>
            <a:ext uri="{FF2B5EF4-FFF2-40B4-BE49-F238E27FC236}">
              <a16:creationId xmlns:a16="http://schemas.microsoft.com/office/drawing/2014/main" id="{BFF134D7-E093-EF44-AC77-C681E57F934F}"/>
            </a:ext>
          </a:extLst>
        </xdr:cNvPr>
        <xdr:cNvSpPr txBox="1"/>
      </xdr:nvSpPr>
      <xdr:spPr>
        <a:xfrm>
          <a:off x="17085075" y="2547212"/>
          <a:ext cx="581648" cy="186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pKa</a:t>
          </a:r>
          <a:r>
            <a:rPr lang="en-US" sz="800" baseline="0"/>
            <a:t> 2.79</a:t>
          </a:r>
          <a:r>
            <a:rPr lang="en-US" sz="800"/>
            <a:t> </a:t>
          </a:r>
        </a:p>
      </xdr:txBody>
    </xdr:sp>
    <xdr:clientData/>
  </xdr:twoCellAnchor>
  <xdr:twoCellAnchor>
    <xdr:from>
      <xdr:col>13</xdr:col>
      <xdr:colOff>503259</xdr:colOff>
      <xdr:row>9</xdr:row>
      <xdr:rowOff>18</xdr:rowOff>
    </xdr:from>
    <xdr:to>
      <xdr:col>14</xdr:col>
      <xdr:colOff>249164</xdr:colOff>
      <xdr:row>10</xdr:row>
      <xdr:rowOff>53251</xdr:rowOff>
    </xdr:to>
    <xdr:sp macro="" textlink="">
      <xdr:nvSpPr>
        <xdr:cNvPr id="222" name="TextBox 7">
          <a:extLst>
            <a:ext uri="{FF2B5EF4-FFF2-40B4-BE49-F238E27FC236}">
              <a16:creationId xmlns:a16="http://schemas.microsoft.com/office/drawing/2014/main" id="{71510B87-924A-254F-BBB8-886A4C552E57}"/>
            </a:ext>
          </a:extLst>
        </xdr:cNvPr>
        <xdr:cNvSpPr txBox="1"/>
      </xdr:nvSpPr>
      <xdr:spPr>
        <a:xfrm>
          <a:off x="17503176" y="2157336"/>
          <a:ext cx="584862" cy="251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pKa</a:t>
          </a:r>
          <a:r>
            <a:rPr lang="en-US" sz="800" baseline="0"/>
            <a:t> 6.16</a:t>
          </a:r>
          <a:endParaRPr lang="en-US" sz="800"/>
        </a:p>
      </xdr:txBody>
    </xdr:sp>
    <xdr:clientData/>
  </xdr:twoCellAnchor>
  <xdr:twoCellAnchor>
    <xdr:from>
      <xdr:col>13</xdr:col>
      <xdr:colOff>52371</xdr:colOff>
      <xdr:row>5</xdr:row>
      <xdr:rowOff>52371</xdr:rowOff>
    </xdr:from>
    <xdr:to>
      <xdr:col>13</xdr:col>
      <xdr:colOff>501482</xdr:colOff>
      <xdr:row>9</xdr:row>
      <xdr:rowOff>44156</xdr:rowOff>
    </xdr:to>
    <xdr:cxnSp macro="">
      <xdr:nvCxnSpPr>
        <xdr:cNvPr id="255" name="Straight Connector 12">
          <a:extLst>
            <a:ext uri="{FF2B5EF4-FFF2-40B4-BE49-F238E27FC236}">
              <a16:creationId xmlns:a16="http://schemas.microsoft.com/office/drawing/2014/main" id="{3DE2651A-1734-CC37-B0CD-CAD186B4D0B7}"/>
            </a:ext>
          </a:extLst>
        </xdr:cNvPr>
        <xdr:cNvCxnSpPr/>
      </xdr:nvCxnSpPr>
      <xdr:spPr>
        <a:xfrm>
          <a:off x="17052288" y="1414888"/>
          <a:ext cx="449111" cy="786586"/>
        </a:xfrm>
        <a:prstGeom prst="line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435249</xdr:colOff>
      <xdr:row>4</xdr:row>
      <xdr:rowOff>147988</xdr:rowOff>
    </xdr:from>
    <xdr:to>
      <xdr:col>13</xdr:col>
      <xdr:colOff>151550</xdr:colOff>
      <xdr:row>5</xdr:row>
      <xdr:rowOff>164006</xdr:rowOff>
    </xdr:to>
    <xdr:sp macro="" textlink="">
      <xdr:nvSpPr>
        <xdr:cNvPr id="263" name="TextBox 15">
          <a:extLst>
            <a:ext uri="{FF2B5EF4-FFF2-40B4-BE49-F238E27FC236}">
              <a16:creationId xmlns:a16="http://schemas.microsoft.com/office/drawing/2014/main" id="{F28BD0FD-8DB2-2742-AB7F-EAC170561E5D}"/>
            </a:ext>
          </a:extLst>
        </xdr:cNvPr>
        <xdr:cNvSpPr txBox="1"/>
      </xdr:nvSpPr>
      <xdr:spPr>
        <a:xfrm>
          <a:off x="16596209" y="1311805"/>
          <a:ext cx="555258" cy="214718"/>
        </a:xfrm>
        <a:prstGeom prst="rect">
          <a:avLst/>
        </a:prstGeom>
        <a:solidFill>
          <a:schemeClr val="accent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>
              <a:solidFill>
                <a:schemeClr val="bg1"/>
              </a:solidFill>
            </a:rPr>
            <a:t>pI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79258</xdr:colOff>
      <xdr:row>0</xdr:row>
      <xdr:rowOff>329258</xdr:rowOff>
    </xdr:from>
    <xdr:to>
      <xdr:col>16</xdr:col>
      <xdr:colOff>165571</xdr:colOff>
      <xdr:row>15</xdr:row>
      <xdr:rowOff>173182</xdr:rowOff>
    </xdr:to>
    <xdr:graphicFrame macro="">
      <xdr:nvGraphicFramePr>
        <xdr:cNvPr id="40" name="Chart 1">
          <a:extLst>
            <a:ext uri="{FF2B5EF4-FFF2-40B4-BE49-F238E27FC236}">
              <a16:creationId xmlns:a16="http://schemas.microsoft.com/office/drawing/2014/main" id="{71699278-3AEF-914A-9D1B-2B3DB1FEE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498147</xdr:colOff>
      <xdr:row>10</xdr:row>
      <xdr:rowOff>60216</xdr:rowOff>
    </xdr:from>
    <xdr:to>
      <xdr:col>13</xdr:col>
      <xdr:colOff>114957</xdr:colOff>
      <xdr:row>11</xdr:row>
      <xdr:rowOff>60217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072C1E8-2D4B-3C4C-A48E-F4F810D2266A}"/>
            </a:ext>
          </a:extLst>
        </xdr:cNvPr>
        <xdr:cNvSpPr/>
      </xdr:nvSpPr>
      <xdr:spPr>
        <a:xfrm>
          <a:off x="16665247" y="2485916"/>
          <a:ext cx="455010" cy="203201"/>
        </a:xfrm>
        <a:prstGeom prst="rect">
          <a:avLst/>
        </a:prstGeom>
        <a:solidFill>
          <a:schemeClr val="accent2">
            <a:alpha val="60814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164223</xdr:colOff>
      <xdr:row>9</xdr:row>
      <xdr:rowOff>60216</xdr:rowOff>
    </xdr:from>
    <xdr:to>
      <xdr:col>13</xdr:col>
      <xdr:colOff>541940</xdr:colOff>
      <xdr:row>11</xdr:row>
      <xdr:rowOff>15548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4E9CCC3-21FA-4E4C-A17D-E37FD836B669}"/>
            </a:ext>
          </a:extLst>
        </xdr:cNvPr>
        <xdr:cNvSpPr/>
      </xdr:nvSpPr>
      <xdr:spPr>
        <a:xfrm>
          <a:off x="17169523" y="2282716"/>
          <a:ext cx="377717" cy="361732"/>
        </a:xfrm>
        <a:prstGeom prst="rect">
          <a:avLst/>
        </a:prstGeom>
        <a:solidFill>
          <a:schemeClr val="accent5">
            <a:alpha val="60814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552010</xdr:colOff>
      <xdr:row>5</xdr:row>
      <xdr:rowOff>131380</xdr:rowOff>
    </xdr:from>
    <xdr:to>
      <xdr:col>14</xdr:col>
      <xdr:colOff>142328</xdr:colOff>
      <xdr:row>9</xdr:row>
      <xdr:rowOff>36568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A5EB47B-BFAD-A148-BF3E-439DD93B8EDB}"/>
            </a:ext>
          </a:extLst>
        </xdr:cNvPr>
        <xdr:cNvSpPr/>
      </xdr:nvSpPr>
      <xdr:spPr>
        <a:xfrm>
          <a:off x="17557310" y="1541080"/>
          <a:ext cx="428518" cy="717988"/>
        </a:xfrm>
        <a:prstGeom prst="rect">
          <a:avLst/>
        </a:prstGeom>
        <a:solidFill>
          <a:schemeClr val="accent6">
            <a:alpha val="60814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494311</xdr:colOff>
      <xdr:row>9</xdr:row>
      <xdr:rowOff>83654</xdr:rowOff>
    </xdr:from>
    <xdr:to>
      <xdr:col>13</xdr:col>
      <xdr:colOff>182515</xdr:colOff>
      <xdr:row>10</xdr:row>
      <xdr:rowOff>136887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018D3EA-6E75-0345-B70C-064197D9E26C}"/>
            </a:ext>
          </a:extLst>
        </xdr:cNvPr>
        <xdr:cNvSpPr txBox="1"/>
      </xdr:nvSpPr>
      <xdr:spPr>
        <a:xfrm>
          <a:off x="16661411" y="2306154"/>
          <a:ext cx="526404" cy="2564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Buffer 1 </a:t>
          </a:r>
        </a:p>
      </xdr:txBody>
    </xdr:sp>
    <xdr:clientData/>
  </xdr:twoCellAnchor>
  <xdr:twoCellAnchor>
    <xdr:from>
      <xdr:col>13</xdr:col>
      <xdr:colOff>114375</xdr:colOff>
      <xdr:row>8</xdr:row>
      <xdr:rowOff>83958</xdr:rowOff>
    </xdr:from>
    <xdr:to>
      <xdr:col>13</xdr:col>
      <xdr:colOff>639106</xdr:colOff>
      <xdr:row>9</xdr:row>
      <xdr:rowOff>137192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1BA3B84-246E-224D-BB83-10C64749B7D0}"/>
            </a:ext>
          </a:extLst>
        </xdr:cNvPr>
        <xdr:cNvSpPr txBox="1"/>
      </xdr:nvSpPr>
      <xdr:spPr>
        <a:xfrm>
          <a:off x="17119675" y="2103258"/>
          <a:ext cx="524731" cy="2564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Buffer 2 </a:t>
          </a:r>
        </a:p>
      </xdr:txBody>
    </xdr:sp>
    <xdr:clientData/>
  </xdr:twoCellAnchor>
  <xdr:twoCellAnchor>
    <xdr:from>
      <xdr:col>13</xdr:col>
      <xdr:colOff>525337</xdr:colOff>
      <xdr:row>4</xdr:row>
      <xdr:rowOff>145100</xdr:rowOff>
    </xdr:from>
    <xdr:to>
      <xdr:col>14</xdr:col>
      <xdr:colOff>213541</xdr:colOff>
      <xdr:row>5</xdr:row>
      <xdr:rowOff>198334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92DBEA2-C7D6-AF46-B3DA-010ECC86B3F6}"/>
            </a:ext>
          </a:extLst>
        </xdr:cNvPr>
        <xdr:cNvSpPr txBox="1"/>
      </xdr:nvSpPr>
      <xdr:spPr>
        <a:xfrm>
          <a:off x="17530637" y="1351600"/>
          <a:ext cx="526404" cy="2564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Buffer 3 </a:t>
          </a:r>
        </a:p>
      </xdr:txBody>
    </xdr:sp>
    <xdr:clientData/>
  </xdr:twoCellAnchor>
  <xdr:twoCellAnchor>
    <xdr:from>
      <xdr:col>12</xdr:col>
      <xdr:colOff>577272</xdr:colOff>
      <xdr:row>11</xdr:row>
      <xdr:rowOff>135829</xdr:rowOff>
    </xdr:from>
    <xdr:to>
      <xdr:col>13</xdr:col>
      <xdr:colOff>68769</xdr:colOff>
      <xdr:row>12</xdr:row>
      <xdr:rowOff>117935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1905467-19C5-814D-9845-166F62D47C4D}"/>
            </a:ext>
          </a:extLst>
        </xdr:cNvPr>
        <xdr:cNvSpPr txBox="1"/>
      </xdr:nvSpPr>
      <xdr:spPr>
        <a:xfrm>
          <a:off x="16744372" y="2764729"/>
          <a:ext cx="329697" cy="185306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500">
              <a:solidFill>
                <a:schemeClr val="bg1"/>
              </a:solidFill>
              <a:effectLst/>
            </a:rPr>
            <a:t> 1</a:t>
          </a:r>
          <a:endParaRPr lang="en-US" sz="5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179564</xdr:colOff>
      <xdr:row>11</xdr:row>
      <xdr:rowOff>132026</xdr:rowOff>
    </xdr:from>
    <xdr:to>
      <xdr:col>13</xdr:col>
      <xdr:colOff>506409</xdr:colOff>
      <xdr:row>12</xdr:row>
      <xdr:rowOff>114132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38EDDEB-D70E-D344-9B5F-93E3D56AC5EC}"/>
            </a:ext>
          </a:extLst>
        </xdr:cNvPr>
        <xdr:cNvSpPr txBox="1"/>
      </xdr:nvSpPr>
      <xdr:spPr>
        <a:xfrm>
          <a:off x="17184864" y="2760926"/>
          <a:ext cx="326845" cy="185306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500">
              <a:solidFill>
                <a:schemeClr val="bg1"/>
              </a:solidFill>
              <a:effectLst/>
            </a:rPr>
            <a:t> </a:t>
          </a:r>
          <a:r>
            <a:rPr lang="en-US" sz="500" baseline="0">
              <a:solidFill>
                <a:schemeClr val="bg1"/>
              </a:solidFill>
              <a:effectLst/>
            </a:rPr>
            <a:t>R</a:t>
          </a:r>
          <a:endParaRPr lang="en-US" sz="5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617205</xdr:colOff>
      <xdr:row>11</xdr:row>
      <xdr:rowOff>107848</xdr:rowOff>
    </xdr:from>
    <xdr:to>
      <xdr:col>14</xdr:col>
      <xdr:colOff>108703</xdr:colOff>
      <xdr:row>12</xdr:row>
      <xdr:rowOff>89954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325B06B-E571-004A-ABC8-CED424493F0B}"/>
            </a:ext>
          </a:extLst>
        </xdr:cNvPr>
        <xdr:cNvSpPr txBox="1"/>
      </xdr:nvSpPr>
      <xdr:spPr>
        <a:xfrm>
          <a:off x="17622505" y="2736748"/>
          <a:ext cx="329698" cy="185306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500">
              <a:solidFill>
                <a:schemeClr val="bg1"/>
              </a:solidFill>
              <a:effectLst/>
            </a:rPr>
            <a:t> </a:t>
          </a:r>
          <a:r>
            <a:rPr lang="en-US" sz="500" baseline="0">
              <a:solidFill>
                <a:schemeClr val="bg1"/>
              </a:solidFill>
              <a:effectLst/>
            </a:rPr>
            <a:t>2</a:t>
          </a:r>
          <a:endParaRPr lang="en-US" sz="5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52371</xdr:colOff>
      <xdr:row>5</xdr:row>
      <xdr:rowOff>52371</xdr:rowOff>
    </xdr:from>
    <xdr:to>
      <xdr:col>13</xdr:col>
      <xdr:colOff>466976</xdr:colOff>
      <xdr:row>8</xdr:row>
      <xdr:rowOff>65464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2BC4917-3FE9-7E4E-A188-9E1F5186A8AD}"/>
            </a:ext>
          </a:extLst>
        </xdr:cNvPr>
        <xdr:cNvCxnSpPr/>
      </xdr:nvCxnSpPr>
      <xdr:spPr>
        <a:xfrm>
          <a:off x="17057671" y="1462071"/>
          <a:ext cx="414605" cy="622693"/>
        </a:xfrm>
        <a:prstGeom prst="line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755017</xdr:colOff>
      <xdr:row>4</xdr:row>
      <xdr:rowOff>147988</xdr:rowOff>
    </xdr:from>
    <xdr:to>
      <xdr:col>13</xdr:col>
      <xdr:colOff>151550</xdr:colOff>
      <xdr:row>5</xdr:row>
      <xdr:rowOff>130094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C845A87-7114-9140-B4E5-11C8ACFD7C56}"/>
            </a:ext>
          </a:extLst>
        </xdr:cNvPr>
        <xdr:cNvSpPr txBox="1"/>
      </xdr:nvSpPr>
      <xdr:spPr>
        <a:xfrm>
          <a:off x="16922117" y="1354488"/>
          <a:ext cx="234733" cy="185306"/>
        </a:xfrm>
        <a:prstGeom prst="rect">
          <a:avLst/>
        </a:prstGeom>
        <a:solidFill>
          <a:schemeClr val="accent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</a:t>
          </a:r>
          <a:endParaRPr lang="en-US" sz="5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79258</xdr:colOff>
      <xdr:row>0</xdr:row>
      <xdr:rowOff>329259</xdr:rowOff>
    </xdr:from>
    <xdr:to>
      <xdr:col>16</xdr:col>
      <xdr:colOff>165571</xdr:colOff>
      <xdr:row>21</xdr:row>
      <xdr:rowOff>70242</xdr:rowOff>
    </xdr:to>
    <xdr:graphicFrame macro="">
      <xdr:nvGraphicFramePr>
        <xdr:cNvPr id="120" name="Chart 1">
          <a:extLst>
            <a:ext uri="{FF2B5EF4-FFF2-40B4-BE49-F238E27FC236}">
              <a16:creationId xmlns:a16="http://schemas.microsoft.com/office/drawing/2014/main" id="{3EC752C8-8CA8-3647-82B4-0D80156D4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101023</xdr:colOff>
      <xdr:row>14</xdr:row>
      <xdr:rowOff>7216</xdr:rowOff>
    </xdr:from>
    <xdr:to>
      <xdr:col>12</xdr:col>
      <xdr:colOff>161616</xdr:colOff>
      <xdr:row>15</xdr:row>
      <xdr:rowOff>129886</xdr:rowOff>
    </xdr:to>
    <xdr:sp macro="" textlink="">
      <xdr:nvSpPr>
        <xdr:cNvPr id="67" name="Rectangle 2">
          <a:extLst>
            <a:ext uri="{FF2B5EF4-FFF2-40B4-BE49-F238E27FC236}">
              <a16:creationId xmlns:a16="http://schemas.microsoft.com/office/drawing/2014/main" id="{929032EF-3D91-E440-AE0A-23B339B1B60E}"/>
            </a:ext>
          </a:extLst>
        </xdr:cNvPr>
        <xdr:cNvSpPr/>
      </xdr:nvSpPr>
      <xdr:spPr>
        <a:xfrm>
          <a:off x="15427614" y="3232727"/>
          <a:ext cx="897638" cy="324716"/>
        </a:xfrm>
        <a:prstGeom prst="rect">
          <a:avLst/>
        </a:prstGeom>
        <a:solidFill>
          <a:schemeClr val="accent2">
            <a:alpha val="60814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246962</xdr:colOff>
      <xdr:row>10</xdr:row>
      <xdr:rowOff>87313</xdr:rowOff>
    </xdr:from>
    <xdr:to>
      <xdr:col>13</xdr:col>
      <xdr:colOff>266988</xdr:colOff>
      <xdr:row>13</xdr:row>
      <xdr:rowOff>174625</xdr:rowOff>
    </xdr:to>
    <xdr:sp macro="" textlink="">
      <xdr:nvSpPr>
        <xdr:cNvPr id="128" name="Rectangle 3">
          <a:extLst>
            <a:ext uri="{FF2B5EF4-FFF2-40B4-BE49-F238E27FC236}">
              <a16:creationId xmlns:a16="http://schemas.microsoft.com/office/drawing/2014/main" id="{F313EED0-05BB-734C-ABB2-40C01160E93D}"/>
            </a:ext>
          </a:extLst>
        </xdr:cNvPr>
        <xdr:cNvSpPr/>
      </xdr:nvSpPr>
      <xdr:spPr>
        <a:xfrm>
          <a:off x="16407712" y="2532063"/>
          <a:ext cx="861401" cy="706437"/>
        </a:xfrm>
        <a:prstGeom prst="rect">
          <a:avLst/>
        </a:prstGeom>
        <a:solidFill>
          <a:schemeClr val="accent5">
            <a:alpha val="60814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375956</xdr:colOff>
      <xdr:row>3</xdr:row>
      <xdr:rowOff>137103</xdr:rowOff>
    </xdr:from>
    <xdr:to>
      <xdr:col>14</xdr:col>
      <xdr:colOff>440171</xdr:colOff>
      <xdr:row>7</xdr:row>
      <xdr:rowOff>36081</xdr:rowOff>
    </xdr:to>
    <xdr:sp macro="" textlink="">
      <xdr:nvSpPr>
        <xdr:cNvPr id="89" name="Rectangle 4">
          <a:extLst>
            <a:ext uri="{FF2B5EF4-FFF2-40B4-BE49-F238E27FC236}">
              <a16:creationId xmlns:a16="http://schemas.microsoft.com/office/drawing/2014/main" id="{C1B27DD1-BE6D-9B42-AC79-D6FB70DB0040}"/>
            </a:ext>
          </a:extLst>
        </xdr:cNvPr>
        <xdr:cNvSpPr/>
      </xdr:nvSpPr>
      <xdr:spPr>
        <a:xfrm>
          <a:off x="17376638" y="1140114"/>
          <a:ext cx="901260" cy="707160"/>
        </a:xfrm>
        <a:prstGeom prst="rect">
          <a:avLst/>
        </a:prstGeom>
        <a:solidFill>
          <a:schemeClr val="accent6">
            <a:alpha val="60814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317500</xdr:colOff>
      <xdr:row>12</xdr:row>
      <xdr:rowOff>199806</xdr:rowOff>
    </xdr:from>
    <xdr:to>
      <xdr:col>12</xdr:col>
      <xdr:colOff>5481</xdr:colOff>
      <xdr:row>14</xdr:row>
      <xdr:rowOff>49615</xdr:rowOff>
    </xdr:to>
    <xdr:sp macro="" textlink="">
      <xdr:nvSpPr>
        <xdr:cNvPr id="68" name="TextBox 5">
          <a:extLst>
            <a:ext uri="{FF2B5EF4-FFF2-40B4-BE49-F238E27FC236}">
              <a16:creationId xmlns:a16="http://schemas.microsoft.com/office/drawing/2014/main" id="{EC579D6B-DEA2-5B4D-BAA1-B219345D331C}"/>
            </a:ext>
          </a:extLst>
        </xdr:cNvPr>
        <xdr:cNvSpPr txBox="1"/>
      </xdr:nvSpPr>
      <xdr:spPr>
        <a:xfrm>
          <a:off x="15644091" y="3021226"/>
          <a:ext cx="525026" cy="25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Buffer 1 </a:t>
          </a:r>
        </a:p>
      </xdr:txBody>
    </xdr:sp>
    <xdr:clientData/>
  </xdr:twoCellAnchor>
  <xdr:twoCellAnchor>
    <xdr:from>
      <xdr:col>12</xdr:col>
      <xdr:colOff>440291</xdr:colOff>
      <xdr:row>9</xdr:row>
      <xdr:rowOff>91806</xdr:rowOff>
    </xdr:from>
    <xdr:to>
      <xdr:col>13</xdr:col>
      <xdr:colOff>121741</xdr:colOff>
      <xdr:row>10</xdr:row>
      <xdr:rowOff>143662</xdr:rowOff>
    </xdr:to>
    <xdr:sp macro="" textlink="">
      <xdr:nvSpPr>
        <xdr:cNvPr id="131" name="TextBox 6">
          <a:extLst>
            <a:ext uri="{FF2B5EF4-FFF2-40B4-BE49-F238E27FC236}">
              <a16:creationId xmlns:a16="http://schemas.microsoft.com/office/drawing/2014/main" id="{C4565B0D-FBF8-1341-A26F-3339984A2DC9}"/>
            </a:ext>
          </a:extLst>
        </xdr:cNvPr>
        <xdr:cNvSpPr txBox="1"/>
      </xdr:nvSpPr>
      <xdr:spPr>
        <a:xfrm>
          <a:off x="16601041" y="2330181"/>
          <a:ext cx="522825" cy="258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Buffer 2 </a:t>
          </a:r>
        </a:p>
      </xdr:txBody>
    </xdr:sp>
    <xdr:clientData/>
  </xdr:twoCellAnchor>
  <xdr:twoCellAnchor>
    <xdr:from>
      <xdr:col>13</xdr:col>
      <xdr:colOff>587409</xdr:colOff>
      <xdr:row>2</xdr:row>
      <xdr:rowOff>375227</xdr:rowOff>
    </xdr:from>
    <xdr:to>
      <xdr:col>14</xdr:col>
      <xdr:colOff>275390</xdr:colOff>
      <xdr:row>3</xdr:row>
      <xdr:rowOff>196173</xdr:rowOff>
    </xdr:to>
    <xdr:sp macro="" textlink="">
      <xdr:nvSpPr>
        <xdr:cNvPr id="90" name="TextBox 7">
          <a:extLst>
            <a:ext uri="{FF2B5EF4-FFF2-40B4-BE49-F238E27FC236}">
              <a16:creationId xmlns:a16="http://schemas.microsoft.com/office/drawing/2014/main" id="{73CB44F3-B0FD-A24C-9C08-F544849675CF}"/>
            </a:ext>
          </a:extLst>
        </xdr:cNvPr>
        <xdr:cNvSpPr txBox="1"/>
      </xdr:nvSpPr>
      <xdr:spPr>
        <a:xfrm>
          <a:off x="17588091" y="945284"/>
          <a:ext cx="525026" cy="25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Buffer 3 </a:t>
          </a:r>
        </a:p>
      </xdr:txBody>
    </xdr:sp>
    <xdr:clientData/>
  </xdr:twoCellAnchor>
  <xdr:twoCellAnchor>
    <xdr:from>
      <xdr:col>11</xdr:col>
      <xdr:colOff>348290</xdr:colOff>
      <xdr:row>16</xdr:row>
      <xdr:rowOff>69594</xdr:rowOff>
    </xdr:from>
    <xdr:to>
      <xdr:col>11</xdr:col>
      <xdr:colOff>786725</xdr:colOff>
      <xdr:row>17</xdr:row>
      <xdr:rowOff>50320</xdr:rowOff>
    </xdr:to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015B2B24-1CB7-354C-B30D-ADC49BCC500D}"/>
            </a:ext>
          </a:extLst>
        </xdr:cNvPr>
        <xdr:cNvSpPr txBox="1"/>
      </xdr:nvSpPr>
      <xdr:spPr>
        <a:xfrm>
          <a:off x="15695060" y="3705390"/>
          <a:ext cx="438435" cy="183027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900">
              <a:solidFill>
                <a:schemeClr val="bg1"/>
              </a:solidFill>
              <a:effectLst/>
            </a:rPr>
            <a:t> 1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473864</xdr:colOff>
      <xdr:row>16</xdr:row>
      <xdr:rowOff>57809</xdr:rowOff>
    </xdr:from>
    <xdr:to>
      <xdr:col>13</xdr:col>
      <xdr:colOff>118009</xdr:colOff>
      <xdr:row>17</xdr:row>
      <xdr:rowOff>38535</xdr:rowOff>
    </xdr:to>
    <xdr:sp macro="" textlink="">
      <xdr:nvSpPr>
        <xdr:cNvPr id="106" name="TextBox 9">
          <a:extLst>
            <a:ext uri="{FF2B5EF4-FFF2-40B4-BE49-F238E27FC236}">
              <a16:creationId xmlns:a16="http://schemas.microsoft.com/office/drawing/2014/main" id="{20248DFE-68C5-D64C-9718-B7B7273BA683}"/>
            </a:ext>
          </a:extLst>
        </xdr:cNvPr>
        <xdr:cNvSpPr txBox="1"/>
      </xdr:nvSpPr>
      <xdr:spPr>
        <a:xfrm>
          <a:off x="16657935" y="3693605"/>
          <a:ext cx="481446" cy="183027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900">
              <a:solidFill>
                <a:schemeClr val="bg1"/>
              </a:solidFill>
              <a:effectLst/>
            </a:rPr>
            <a:t> </a:t>
          </a:r>
          <a:r>
            <a:rPr lang="en-US" sz="900" baseline="0">
              <a:solidFill>
                <a:schemeClr val="bg1"/>
              </a:solidFill>
              <a:effectLst/>
            </a:rPr>
            <a:t>R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554354</xdr:colOff>
      <xdr:row>10</xdr:row>
      <xdr:rowOff>108371</xdr:rowOff>
    </xdr:from>
    <xdr:to>
      <xdr:col>12</xdr:col>
      <xdr:colOff>131913</xdr:colOff>
      <xdr:row>13</xdr:row>
      <xdr:rowOff>117329</xdr:rowOff>
    </xdr:to>
    <xdr:cxnSp macro="">
      <xdr:nvCxnSpPr>
        <xdr:cNvPr id="125" name="Straight Connector 11">
          <a:extLst>
            <a:ext uri="{FF2B5EF4-FFF2-40B4-BE49-F238E27FC236}">
              <a16:creationId xmlns:a16="http://schemas.microsoft.com/office/drawing/2014/main" id="{2989C41B-A8C5-F640-B62D-398B269D5DA6}"/>
            </a:ext>
          </a:extLst>
        </xdr:cNvPr>
        <xdr:cNvCxnSpPr/>
      </xdr:nvCxnSpPr>
      <xdr:spPr>
        <a:xfrm>
          <a:off x="15873729" y="2553121"/>
          <a:ext cx="418934" cy="628083"/>
        </a:xfrm>
        <a:prstGeom prst="line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303790</xdr:colOff>
      <xdr:row>9</xdr:row>
      <xdr:rowOff>204212</xdr:rowOff>
    </xdr:from>
    <xdr:to>
      <xdr:col>11</xdr:col>
      <xdr:colOff>653533</xdr:colOff>
      <xdr:row>10</xdr:row>
      <xdr:rowOff>186094</xdr:rowOff>
    </xdr:to>
    <xdr:sp macro="" textlink="">
      <xdr:nvSpPr>
        <xdr:cNvPr id="124" name="TextBox 12">
          <a:extLst>
            <a:ext uri="{FF2B5EF4-FFF2-40B4-BE49-F238E27FC236}">
              <a16:creationId xmlns:a16="http://schemas.microsoft.com/office/drawing/2014/main" id="{6BB2DF61-0659-044B-9776-D674FB53A0E4}"/>
            </a:ext>
          </a:extLst>
        </xdr:cNvPr>
        <xdr:cNvSpPr txBox="1"/>
      </xdr:nvSpPr>
      <xdr:spPr>
        <a:xfrm>
          <a:off x="15623165" y="2442587"/>
          <a:ext cx="349743" cy="188257"/>
        </a:xfrm>
        <a:prstGeom prst="rect">
          <a:avLst/>
        </a:prstGeom>
        <a:solidFill>
          <a:schemeClr val="accent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603786</xdr:colOff>
      <xdr:row>16</xdr:row>
      <xdr:rowOff>52864</xdr:rowOff>
    </xdr:from>
    <xdr:to>
      <xdr:col>14</xdr:col>
      <xdr:colOff>247931</xdr:colOff>
      <xdr:row>17</xdr:row>
      <xdr:rowOff>33590</xdr:rowOff>
    </xdr:to>
    <xdr:sp macro="" textlink="">
      <xdr:nvSpPr>
        <xdr:cNvPr id="109" name="TextBox 14">
          <a:extLst>
            <a:ext uri="{FF2B5EF4-FFF2-40B4-BE49-F238E27FC236}">
              <a16:creationId xmlns:a16="http://schemas.microsoft.com/office/drawing/2014/main" id="{B142090B-4E8F-F04F-A0DF-5C15AAA7087B}"/>
            </a:ext>
          </a:extLst>
        </xdr:cNvPr>
        <xdr:cNvSpPr txBox="1"/>
      </xdr:nvSpPr>
      <xdr:spPr>
        <a:xfrm>
          <a:off x="17625158" y="3688660"/>
          <a:ext cx="481446" cy="183027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900">
              <a:solidFill>
                <a:schemeClr val="bg1"/>
              </a:solidFill>
              <a:effectLst/>
            </a:rPr>
            <a:t> </a:t>
          </a:r>
          <a:r>
            <a:rPr lang="en-US" sz="900" baseline="0">
              <a:solidFill>
                <a:schemeClr val="bg1"/>
              </a:solidFill>
              <a:effectLst/>
            </a:rPr>
            <a:t>2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79258</xdr:colOff>
      <xdr:row>0</xdr:row>
      <xdr:rowOff>329259</xdr:rowOff>
    </xdr:from>
    <xdr:to>
      <xdr:col>16</xdr:col>
      <xdr:colOff>165571</xdr:colOff>
      <xdr:row>21</xdr:row>
      <xdr:rowOff>70242</xdr:rowOff>
    </xdr:to>
    <xdr:graphicFrame macro="">
      <xdr:nvGraphicFramePr>
        <xdr:cNvPr id="40" name="Chart 1">
          <a:extLst>
            <a:ext uri="{FF2B5EF4-FFF2-40B4-BE49-F238E27FC236}">
              <a16:creationId xmlns:a16="http://schemas.microsoft.com/office/drawing/2014/main" id="{7C0A4201-D4E9-A147-9B1D-C5E8F7099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101023</xdr:colOff>
      <xdr:row>14</xdr:row>
      <xdr:rowOff>7216</xdr:rowOff>
    </xdr:from>
    <xdr:to>
      <xdr:col>12</xdr:col>
      <xdr:colOff>161616</xdr:colOff>
      <xdr:row>15</xdr:row>
      <xdr:rowOff>129886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189CA9C-0EF2-654C-867D-944BF1EC7FC7}"/>
            </a:ext>
          </a:extLst>
        </xdr:cNvPr>
        <xdr:cNvSpPr/>
      </xdr:nvSpPr>
      <xdr:spPr>
        <a:xfrm>
          <a:off x="15429923" y="3245716"/>
          <a:ext cx="898793" cy="325870"/>
        </a:xfrm>
        <a:prstGeom prst="rect">
          <a:avLst/>
        </a:prstGeom>
        <a:solidFill>
          <a:schemeClr val="accent2">
            <a:alpha val="60814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246962</xdr:colOff>
      <xdr:row>10</xdr:row>
      <xdr:rowOff>87313</xdr:rowOff>
    </xdr:from>
    <xdr:to>
      <xdr:col>13</xdr:col>
      <xdr:colOff>266988</xdr:colOff>
      <xdr:row>13</xdr:row>
      <xdr:rowOff>160986</xdr:rowOff>
    </xdr:to>
    <xdr:sp macro="" textlink="">
      <xdr:nvSpPr>
        <xdr:cNvPr id="52" name="Rectangle 3">
          <a:extLst>
            <a:ext uri="{FF2B5EF4-FFF2-40B4-BE49-F238E27FC236}">
              <a16:creationId xmlns:a16="http://schemas.microsoft.com/office/drawing/2014/main" id="{E562CB4D-DAD1-B742-AA73-1F880D7DF28E}"/>
            </a:ext>
          </a:extLst>
        </xdr:cNvPr>
        <xdr:cNvSpPr/>
      </xdr:nvSpPr>
      <xdr:spPr>
        <a:xfrm>
          <a:off x="16417103" y="2528933"/>
          <a:ext cx="860730" cy="690785"/>
        </a:xfrm>
        <a:prstGeom prst="rect">
          <a:avLst/>
        </a:prstGeom>
        <a:solidFill>
          <a:schemeClr val="accent5">
            <a:alpha val="60814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375956</xdr:colOff>
      <xdr:row>3</xdr:row>
      <xdr:rowOff>137103</xdr:rowOff>
    </xdr:from>
    <xdr:to>
      <xdr:col>14</xdr:col>
      <xdr:colOff>405191</xdr:colOff>
      <xdr:row>7</xdr:row>
      <xdr:rowOff>36081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C1E9B994-B718-B041-B3D0-C2C31C30E638}"/>
            </a:ext>
          </a:extLst>
        </xdr:cNvPr>
        <xdr:cNvSpPr/>
      </xdr:nvSpPr>
      <xdr:spPr>
        <a:xfrm>
          <a:off x="17393956" y="1141008"/>
          <a:ext cx="869854" cy="721454"/>
        </a:xfrm>
        <a:prstGeom prst="rect">
          <a:avLst/>
        </a:prstGeom>
        <a:solidFill>
          <a:schemeClr val="accent6">
            <a:alpha val="60814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317500</xdr:colOff>
      <xdr:row>12</xdr:row>
      <xdr:rowOff>199806</xdr:rowOff>
    </xdr:from>
    <xdr:to>
      <xdr:col>12</xdr:col>
      <xdr:colOff>5481</xdr:colOff>
      <xdr:row>14</xdr:row>
      <xdr:rowOff>49615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2FF732-E18D-AD47-A070-B1DBA23FDA32}"/>
            </a:ext>
          </a:extLst>
        </xdr:cNvPr>
        <xdr:cNvSpPr txBox="1"/>
      </xdr:nvSpPr>
      <xdr:spPr>
        <a:xfrm>
          <a:off x="15646400" y="3031906"/>
          <a:ext cx="526181" cy="256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Buffer 1 </a:t>
          </a:r>
        </a:p>
      </xdr:txBody>
    </xdr:sp>
    <xdr:clientData/>
  </xdr:twoCellAnchor>
  <xdr:twoCellAnchor>
    <xdr:from>
      <xdr:col>12</xdr:col>
      <xdr:colOff>464103</xdr:colOff>
      <xdr:row>9</xdr:row>
      <xdr:rowOff>107681</xdr:rowOff>
    </xdr:from>
    <xdr:to>
      <xdr:col>13</xdr:col>
      <xdr:colOff>145553</xdr:colOff>
      <xdr:row>10</xdr:row>
      <xdr:rowOff>159536</xdr:rowOff>
    </xdr:to>
    <xdr:sp macro="" textlink="">
      <xdr:nvSpPr>
        <xdr:cNvPr id="41" name="TextBox 6">
          <a:extLst>
            <a:ext uri="{FF2B5EF4-FFF2-40B4-BE49-F238E27FC236}">
              <a16:creationId xmlns:a16="http://schemas.microsoft.com/office/drawing/2014/main" id="{E969077E-3C67-CE4E-AB84-3B74572BF071}"/>
            </a:ext>
          </a:extLst>
        </xdr:cNvPr>
        <xdr:cNvSpPr txBox="1"/>
      </xdr:nvSpPr>
      <xdr:spPr>
        <a:xfrm>
          <a:off x="16634244" y="2343596"/>
          <a:ext cx="522154" cy="257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Buffer 2 </a:t>
          </a:r>
        </a:p>
      </xdr:txBody>
    </xdr:sp>
    <xdr:clientData/>
  </xdr:twoCellAnchor>
  <xdr:twoCellAnchor>
    <xdr:from>
      <xdr:col>13</xdr:col>
      <xdr:colOff>587409</xdr:colOff>
      <xdr:row>2</xdr:row>
      <xdr:rowOff>375227</xdr:rowOff>
    </xdr:from>
    <xdr:to>
      <xdr:col>14</xdr:col>
      <xdr:colOff>275390</xdr:colOff>
      <xdr:row>3</xdr:row>
      <xdr:rowOff>196173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1273886-F287-BB41-8D1E-F77903F6C3FA}"/>
            </a:ext>
          </a:extLst>
        </xdr:cNvPr>
        <xdr:cNvSpPr txBox="1"/>
      </xdr:nvSpPr>
      <xdr:spPr>
        <a:xfrm>
          <a:off x="17592709" y="946727"/>
          <a:ext cx="526181" cy="252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Buffer 3 </a:t>
          </a:r>
        </a:p>
      </xdr:txBody>
    </xdr:sp>
    <xdr:clientData/>
  </xdr:twoCellAnchor>
  <xdr:twoCellAnchor>
    <xdr:from>
      <xdr:col>11</xdr:col>
      <xdr:colOff>348290</xdr:colOff>
      <xdr:row>16</xdr:row>
      <xdr:rowOff>69594</xdr:rowOff>
    </xdr:from>
    <xdr:to>
      <xdr:col>11</xdr:col>
      <xdr:colOff>786725</xdr:colOff>
      <xdr:row>17</xdr:row>
      <xdr:rowOff>50320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C87277F-B60F-4C45-8EE0-BCED9F2D9A2D}"/>
            </a:ext>
          </a:extLst>
        </xdr:cNvPr>
        <xdr:cNvSpPr txBox="1"/>
      </xdr:nvSpPr>
      <xdr:spPr>
        <a:xfrm>
          <a:off x="15677190" y="3714494"/>
          <a:ext cx="438435" cy="183926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900">
              <a:solidFill>
                <a:schemeClr val="bg1"/>
              </a:solidFill>
              <a:effectLst/>
            </a:rPr>
            <a:t> 1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473864</xdr:colOff>
      <xdr:row>16</xdr:row>
      <xdr:rowOff>57809</xdr:rowOff>
    </xdr:from>
    <xdr:to>
      <xdr:col>13</xdr:col>
      <xdr:colOff>118009</xdr:colOff>
      <xdr:row>17</xdr:row>
      <xdr:rowOff>38535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30ACB71-1B39-8B4C-A967-68D37B4ADCAC}"/>
            </a:ext>
          </a:extLst>
        </xdr:cNvPr>
        <xdr:cNvSpPr txBox="1"/>
      </xdr:nvSpPr>
      <xdr:spPr>
        <a:xfrm>
          <a:off x="16640964" y="3702709"/>
          <a:ext cx="482345" cy="183926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900">
              <a:solidFill>
                <a:schemeClr val="bg1"/>
              </a:solidFill>
              <a:effectLst/>
            </a:rPr>
            <a:t> </a:t>
          </a:r>
          <a:r>
            <a:rPr lang="en-US" sz="900" baseline="0">
              <a:solidFill>
                <a:schemeClr val="bg1"/>
              </a:solidFill>
              <a:effectLst/>
            </a:rPr>
            <a:t>R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562067</xdr:colOff>
      <xdr:row>10</xdr:row>
      <xdr:rowOff>90596</xdr:rowOff>
    </xdr:from>
    <xdr:to>
      <xdr:col>12</xdr:col>
      <xdr:colOff>139626</xdr:colOff>
      <xdr:row>13</xdr:row>
      <xdr:rowOff>99554</xdr:rowOff>
    </xdr:to>
    <xdr:cxnSp macro="">
      <xdr:nvCxnSpPr>
        <xdr:cNvPr id="49" name="Straight Connector 10">
          <a:extLst>
            <a:ext uri="{FF2B5EF4-FFF2-40B4-BE49-F238E27FC236}">
              <a16:creationId xmlns:a16="http://schemas.microsoft.com/office/drawing/2014/main" id="{62CF1DE0-A46F-9E4E-BF6D-2A2419B66202}"/>
            </a:ext>
          </a:extLst>
        </xdr:cNvPr>
        <xdr:cNvCxnSpPr/>
      </xdr:nvCxnSpPr>
      <xdr:spPr>
        <a:xfrm>
          <a:off x="15891504" y="2532216"/>
          <a:ext cx="418263" cy="626070"/>
        </a:xfrm>
        <a:prstGeom prst="line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311503</xdr:colOff>
      <xdr:row>9</xdr:row>
      <xdr:rowOff>186437</xdr:rowOff>
    </xdr:from>
    <xdr:to>
      <xdr:col>11</xdr:col>
      <xdr:colOff>661246</xdr:colOff>
      <xdr:row>10</xdr:row>
      <xdr:rowOff>168319</xdr:rowOff>
    </xdr:to>
    <xdr:sp macro="" textlink="">
      <xdr:nvSpPr>
        <xdr:cNvPr id="48" name="TextBox 11">
          <a:extLst>
            <a:ext uri="{FF2B5EF4-FFF2-40B4-BE49-F238E27FC236}">
              <a16:creationId xmlns:a16="http://schemas.microsoft.com/office/drawing/2014/main" id="{51DB72E9-79FF-334C-93F5-036C5583BEFA}"/>
            </a:ext>
          </a:extLst>
        </xdr:cNvPr>
        <xdr:cNvSpPr txBox="1"/>
      </xdr:nvSpPr>
      <xdr:spPr>
        <a:xfrm>
          <a:off x="15640940" y="2422352"/>
          <a:ext cx="349743" cy="187587"/>
        </a:xfrm>
        <a:prstGeom prst="rect">
          <a:avLst/>
        </a:prstGeom>
        <a:solidFill>
          <a:schemeClr val="accent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603786</xdr:colOff>
      <xdr:row>16</xdr:row>
      <xdr:rowOff>52864</xdr:rowOff>
    </xdr:from>
    <xdr:to>
      <xdr:col>14</xdr:col>
      <xdr:colOff>247931</xdr:colOff>
      <xdr:row>17</xdr:row>
      <xdr:rowOff>33590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7ADA7CF-B557-C54D-95B1-910F7F2A90CB}"/>
            </a:ext>
          </a:extLst>
        </xdr:cNvPr>
        <xdr:cNvSpPr txBox="1"/>
      </xdr:nvSpPr>
      <xdr:spPr>
        <a:xfrm>
          <a:off x="17609086" y="3697764"/>
          <a:ext cx="482345" cy="183926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900">
              <a:solidFill>
                <a:schemeClr val="bg1"/>
              </a:solidFill>
              <a:effectLst/>
            </a:rPr>
            <a:t> </a:t>
          </a:r>
          <a:r>
            <a:rPr lang="en-US" sz="900" baseline="0">
              <a:solidFill>
                <a:schemeClr val="bg1"/>
              </a:solidFill>
              <a:effectLst/>
            </a:rPr>
            <a:t>2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79258</xdr:colOff>
      <xdr:row>0</xdr:row>
      <xdr:rowOff>329260</xdr:rowOff>
    </xdr:from>
    <xdr:to>
      <xdr:col>16</xdr:col>
      <xdr:colOff>165571</xdr:colOff>
      <xdr:row>23</xdr:row>
      <xdr:rowOff>69274</xdr:rowOff>
    </xdr:to>
    <xdr:graphicFrame macro="">
      <xdr:nvGraphicFramePr>
        <xdr:cNvPr id="125" name="Chart 1">
          <a:extLst>
            <a:ext uri="{FF2B5EF4-FFF2-40B4-BE49-F238E27FC236}">
              <a16:creationId xmlns:a16="http://schemas.microsoft.com/office/drawing/2014/main" id="{434CCAFD-6D26-E440-A196-DF0CD7F40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394113</xdr:colOff>
      <xdr:row>15</xdr:row>
      <xdr:rowOff>148950</xdr:rowOff>
    </xdr:from>
    <xdr:to>
      <xdr:col>11</xdr:col>
      <xdr:colOff>452592</xdr:colOff>
      <xdr:row>17</xdr:row>
      <xdr:rowOff>115257</xdr:rowOff>
    </xdr:to>
    <xdr:sp macro="" textlink="">
      <xdr:nvSpPr>
        <xdr:cNvPr id="73" name="Rectangle 2">
          <a:extLst>
            <a:ext uri="{FF2B5EF4-FFF2-40B4-BE49-F238E27FC236}">
              <a16:creationId xmlns:a16="http://schemas.microsoft.com/office/drawing/2014/main" id="{B18CDF6A-2CA6-094E-8011-980CEE3DF2DA}"/>
            </a:ext>
          </a:extLst>
        </xdr:cNvPr>
        <xdr:cNvSpPr/>
      </xdr:nvSpPr>
      <xdr:spPr>
        <a:xfrm>
          <a:off x="14881520" y="3598333"/>
          <a:ext cx="897307" cy="373961"/>
        </a:xfrm>
        <a:prstGeom prst="rect">
          <a:avLst/>
        </a:prstGeom>
        <a:solidFill>
          <a:schemeClr val="accent2">
            <a:alpha val="60814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483062</xdr:colOff>
      <xdr:row>13</xdr:row>
      <xdr:rowOff>141767</xdr:rowOff>
    </xdr:from>
    <xdr:to>
      <xdr:col>12</xdr:col>
      <xdr:colOff>470371</xdr:colOff>
      <xdr:row>17</xdr:row>
      <xdr:rowOff>7839</xdr:rowOff>
    </xdr:to>
    <xdr:sp macro="" textlink="">
      <xdr:nvSpPr>
        <xdr:cNvPr id="82" name="Rectangle 3">
          <a:extLst>
            <a:ext uri="{FF2B5EF4-FFF2-40B4-BE49-F238E27FC236}">
              <a16:creationId xmlns:a16="http://schemas.microsoft.com/office/drawing/2014/main" id="{D21F3314-D5F9-7444-8DE5-3A5B848E2CAB}"/>
            </a:ext>
          </a:extLst>
        </xdr:cNvPr>
        <xdr:cNvSpPr/>
      </xdr:nvSpPr>
      <xdr:spPr>
        <a:xfrm>
          <a:off x="15799853" y="3148418"/>
          <a:ext cx="826099" cy="669421"/>
        </a:xfrm>
        <a:prstGeom prst="rect">
          <a:avLst/>
        </a:prstGeom>
        <a:solidFill>
          <a:schemeClr val="accent5">
            <a:alpha val="60814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531628</xdr:colOff>
      <xdr:row>8</xdr:row>
      <xdr:rowOff>141769</xdr:rowOff>
    </xdr:from>
    <xdr:to>
      <xdr:col>13</xdr:col>
      <xdr:colOff>466651</xdr:colOff>
      <xdr:row>12</xdr:row>
      <xdr:rowOff>189023</xdr:rowOff>
    </xdr:to>
    <xdr:sp macro="" textlink="">
      <xdr:nvSpPr>
        <xdr:cNvPr id="89" name="Rectangle 4">
          <a:extLst>
            <a:ext uri="{FF2B5EF4-FFF2-40B4-BE49-F238E27FC236}">
              <a16:creationId xmlns:a16="http://schemas.microsoft.com/office/drawing/2014/main" id="{C4976DD3-3B29-8A44-BCA7-0B29143B0C47}"/>
            </a:ext>
          </a:extLst>
        </xdr:cNvPr>
        <xdr:cNvSpPr/>
      </xdr:nvSpPr>
      <xdr:spPr>
        <a:xfrm>
          <a:off x="16687209" y="2144234"/>
          <a:ext cx="773814" cy="850603"/>
        </a:xfrm>
        <a:prstGeom prst="rect">
          <a:avLst/>
        </a:prstGeom>
        <a:solidFill>
          <a:schemeClr val="accent6">
            <a:alpha val="60814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620362</xdr:colOff>
      <xdr:row>14</xdr:row>
      <xdr:rowOff>160035</xdr:rowOff>
    </xdr:from>
    <xdr:to>
      <xdr:col>11</xdr:col>
      <xdr:colOff>306229</xdr:colOff>
      <xdr:row>16</xdr:row>
      <xdr:rowOff>9608</xdr:rowOff>
    </xdr:to>
    <xdr:sp macro="" textlink="">
      <xdr:nvSpPr>
        <xdr:cNvPr id="78" name="TextBox 5">
          <a:extLst>
            <a:ext uri="{FF2B5EF4-FFF2-40B4-BE49-F238E27FC236}">
              <a16:creationId xmlns:a16="http://schemas.microsoft.com/office/drawing/2014/main" id="{AB9A49D6-C9D1-5746-AA20-2459238236BD}"/>
            </a:ext>
          </a:extLst>
        </xdr:cNvPr>
        <xdr:cNvSpPr txBox="1"/>
      </xdr:nvSpPr>
      <xdr:spPr>
        <a:xfrm>
          <a:off x="15098362" y="3367523"/>
          <a:ext cx="524658" cy="2512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Buffer 1 </a:t>
          </a:r>
        </a:p>
      </xdr:txBody>
    </xdr:sp>
    <xdr:clientData/>
  </xdr:twoCellAnchor>
  <xdr:twoCellAnchor>
    <xdr:from>
      <xdr:col>11</xdr:col>
      <xdr:colOff>663832</xdr:colOff>
      <xdr:row>12</xdr:row>
      <xdr:rowOff>113357</xdr:rowOff>
    </xdr:from>
    <xdr:to>
      <xdr:col>12</xdr:col>
      <xdr:colOff>347196</xdr:colOff>
      <xdr:row>13</xdr:row>
      <xdr:rowOff>156117</xdr:rowOff>
    </xdr:to>
    <xdr:sp macro="" textlink="">
      <xdr:nvSpPr>
        <xdr:cNvPr id="81" name="TextBox 6">
          <a:extLst>
            <a:ext uri="{FF2B5EF4-FFF2-40B4-BE49-F238E27FC236}">
              <a16:creationId xmlns:a16="http://schemas.microsoft.com/office/drawing/2014/main" id="{78FBF83A-B212-AD44-A776-E81B4061FBA6}"/>
            </a:ext>
          </a:extLst>
        </xdr:cNvPr>
        <xdr:cNvSpPr txBox="1"/>
      </xdr:nvSpPr>
      <xdr:spPr>
        <a:xfrm>
          <a:off x="15980623" y="2919171"/>
          <a:ext cx="522154" cy="2435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Buffer 2 </a:t>
          </a:r>
        </a:p>
      </xdr:txBody>
    </xdr:sp>
    <xdr:clientData/>
  </xdr:twoCellAnchor>
  <xdr:twoCellAnchor>
    <xdr:from>
      <xdr:col>12</xdr:col>
      <xdr:colOff>678699</xdr:colOff>
      <xdr:row>7</xdr:row>
      <xdr:rowOff>165127</xdr:rowOff>
    </xdr:from>
    <xdr:to>
      <xdr:col>13</xdr:col>
      <xdr:colOff>368593</xdr:colOff>
      <xdr:row>9</xdr:row>
      <xdr:rowOff>6714</xdr:rowOff>
    </xdr:to>
    <xdr:sp macro="" textlink="">
      <xdr:nvSpPr>
        <xdr:cNvPr id="90" name="TextBox 7">
          <a:extLst>
            <a:ext uri="{FF2B5EF4-FFF2-40B4-BE49-F238E27FC236}">
              <a16:creationId xmlns:a16="http://schemas.microsoft.com/office/drawing/2014/main" id="{C49792A9-D1FC-1A48-8C54-31B7629B90DC}"/>
            </a:ext>
          </a:extLst>
        </xdr:cNvPr>
        <xdr:cNvSpPr txBox="1"/>
      </xdr:nvSpPr>
      <xdr:spPr>
        <a:xfrm>
          <a:off x="16834280" y="1966755"/>
          <a:ext cx="528685" cy="243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Buffer 3 </a:t>
          </a:r>
        </a:p>
      </xdr:txBody>
    </xdr:sp>
    <xdr:clientData/>
  </xdr:twoCellAnchor>
  <xdr:twoCellAnchor>
    <xdr:from>
      <xdr:col>10</xdr:col>
      <xdr:colOff>628690</xdr:colOff>
      <xdr:row>18</xdr:row>
      <xdr:rowOff>127380</xdr:rowOff>
    </xdr:from>
    <xdr:to>
      <xdr:col>11</xdr:col>
      <xdr:colOff>307162</xdr:colOff>
      <xdr:row>19</xdr:row>
      <xdr:rowOff>105992</xdr:rowOff>
    </xdr:to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3316A789-0691-B241-A188-8A3A2E353869}"/>
            </a:ext>
          </a:extLst>
        </xdr:cNvPr>
        <xdr:cNvSpPr txBox="1"/>
      </xdr:nvSpPr>
      <xdr:spPr>
        <a:xfrm>
          <a:off x="15106690" y="4138217"/>
          <a:ext cx="517263" cy="179449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900">
              <a:solidFill>
                <a:schemeClr val="bg1"/>
              </a:solidFill>
              <a:effectLst/>
            </a:rPr>
            <a:t> 1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661779</xdr:colOff>
      <xdr:row>18</xdr:row>
      <xdr:rowOff>107756</xdr:rowOff>
    </xdr:from>
    <xdr:to>
      <xdr:col>12</xdr:col>
      <xdr:colOff>307838</xdr:colOff>
      <xdr:row>19</xdr:row>
      <xdr:rowOff>86368</xdr:rowOff>
    </xdr:to>
    <xdr:sp macro="" textlink="">
      <xdr:nvSpPr>
        <xdr:cNvPr id="93" name="TextBox 9">
          <a:extLst>
            <a:ext uri="{FF2B5EF4-FFF2-40B4-BE49-F238E27FC236}">
              <a16:creationId xmlns:a16="http://schemas.microsoft.com/office/drawing/2014/main" id="{53DA1B41-F888-7B42-89E7-D66B0B4E4CAE}"/>
            </a:ext>
          </a:extLst>
        </xdr:cNvPr>
        <xdr:cNvSpPr txBox="1"/>
      </xdr:nvSpPr>
      <xdr:spPr>
        <a:xfrm>
          <a:off x="15978570" y="4118593"/>
          <a:ext cx="484849" cy="179449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900">
              <a:solidFill>
                <a:schemeClr val="bg1"/>
              </a:solidFill>
              <a:effectLst/>
            </a:rPr>
            <a:t> </a:t>
          </a:r>
          <a:r>
            <a:rPr lang="en-US" sz="900" baseline="0">
              <a:solidFill>
                <a:schemeClr val="bg1"/>
              </a:solidFill>
              <a:effectLst/>
            </a:rPr>
            <a:t>R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42478</xdr:colOff>
      <xdr:row>10</xdr:row>
      <xdr:rowOff>27436</xdr:rowOff>
    </xdr:from>
    <xdr:to>
      <xdr:col>12</xdr:col>
      <xdr:colOff>460741</xdr:colOff>
      <xdr:row>13</xdr:row>
      <xdr:rowOff>30053</xdr:rowOff>
    </xdr:to>
    <xdr:cxnSp macro="">
      <xdr:nvCxnSpPr>
        <xdr:cNvPr id="97" name="Straight Connector 10">
          <a:extLst>
            <a:ext uri="{FF2B5EF4-FFF2-40B4-BE49-F238E27FC236}">
              <a16:creationId xmlns:a16="http://schemas.microsoft.com/office/drawing/2014/main" id="{5C8DA2F2-4F67-F240-95C3-0286D46D4B34}"/>
            </a:ext>
          </a:extLst>
        </xdr:cNvPr>
        <xdr:cNvCxnSpPr/>
      </xdr:nvCxnSpPr>
      <xdr:spPr>
        <a:xfrm>
          <a:off x="16198059" y="2431576"/>
          <a:ext cx="418263" cy="605128"/>
        </a:xfrm>
        <a:prstGeom prst="line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630704</xdr:colOff>
      <xdr:row>9</xdr:row>
      <xdr:rowOff>125391</xdr:rowOff>
    </xdr:from>
    <xdr:to>
      <xdr:col>12</xdr:col>
      <xdr:colOff>141657</xdr:colOff>
      <xdr:row>10</xdr:row>
      <xdr:rowOff>105159</xdr:rowOff>
    </xdr:to>
    <xdr:sp macro="" textlink="">
      <xdr:nvSpPr>
        <xdr:cNvPr id="96" name="TextBox 11">
          <a:extLst>
            <a:ext uri="{FF2B5EF4-FFF2-40B4-BE49-F238E27FC236}">
              <a16:creationId xmlns:a16="http://schemas.microsoft.com/office/drawing/2014/main" id="{0F503644-1300-6B45-9120-F355E78B6952}"/>
            </a:ext>
          </a:extLst>
        </xdr:cNvPr>
        <xdr:cNvSpPr txBox="1"/>
      </xdr:nvSpPr>
      <xdr:spPr>
        <a:xfrm>
          <a:off x="15947495" y="2328693"/>
          <a:ext cx="349743" cy="180606"/>
        </a:xfrm>
        <a:prstGeom prst="rect">
          <a:avLst/>
        </a:prstGeom>
        <a:solidFill>
          <a:schemeClr val="accent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683262</xdr:colOff>
      <xdr:row>18</xdr:row>
      <xdr:rowOff>90997</xdr:rowOff>
    </xdr:from>
    <xdr:to>
      <xdr:col>13</xdr:col>
      <xdr:colOff>329320</xdr:colOff>
      <xdr:row>19</xdr:row>
      <xdr:rowOff>69609</xdr:rowOff>
    </xdr:to>
    <xdr:sp macro="" textlink="">
      <xdr:nvSpPr>
        <xdr:cNvPr id="95" name="TextBox 12">
          <a:extLst>
            <a:ext uri="{FF2B5EF4-FFF2-40B4-BE49-F238E27FC236}">
              <a16:creationId xmlns:a16="http://schemas.microsoft.com/office/drawing/2014/main" id="{4B703E02-B399-8141-9B21-294E3DEBB49B}"/>
            </a:ext>
          </a:extLst>
        </xdr:cNvPr>
        <xdr:cNvSpPr txBox="1"/>
      </xdr:nvSpPr>
      <xdr:spPr>
        <a:xfrm>
          <a:off x="16838843" y="4101834"/>
          <a:ext cx="484849" cy="179449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900">
              <a:solidFill>
                <a:schemeClr val="bg1"/>
              </a:solidFill>
              <a:effectLst/>
            </a:rPr>
            <a:t> </a:t>
          </a:r>
          <a:r>
            <a:rPr lang="en-US" sz="900" baseline="0">
              <a:solidFill>
                <a:schemeClr val="bg1"/>
              </a:solidFill>
              <a:effectLst/>
            </a:rPr>
            <a:t>2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79258</xdr:colOff>
      <xdr:row>0</xdr:row>
      <xdr:rowOff>329260</xdr:rowOff>
    </xdr:from>
    <xdr:to>
      <xdr:col>16</xdr:col>
      <xdr:colOff>165571</xdr:colOff>
      <xdr:row>23</xdr:row>
      <xdr:rowOff>69274</xdr:rowOff>
    </xdr:to>
    <xdr:graphicFrame macro="">
      <xdr:nvGraphicFramePr>
        <xdr:cNvPr id="59" name="Chart 1">
          <a:extLst>
            <a:ext uri="{FF2B5EF4-FFF2-40B4-BE49-F238E27FC236}">
              <a16:creationId xmlns:a16="http://schemas.microsoft.com/office/drawing/2014/main" id="{605F3AC7-C999-C341-A910-0439440C2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394113</xdr:colOff>
      <xdr:row>15</xdr:row>
      <xdr:rowOff>148950</xdr:rowOff>
    </xdr:from>
    <xdr:to>
      <xdr:col>11</xdr:col>
      <xdr:colOff>452592</xdr:colOff>
      <xdr:row>17</xdr:row>
      <xdr:rowOff>115257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7D7F03-09F3-DD40-AFDB-81A64E4D4DA2}"/>
            </a:ext>
          </a:extLst>
        </xdr:cNvPr>
        <xdr:cNvSpPr/>
      </xdr:nvSpPr>
      <xdr:spPr>
        <a:xfrm>
          <a:off x="14884813" y="3590650"/>
          <a:ext cx="896679" cy="372707"/>
        </a:xfrm>
        <a:prstGeom prst="rect">
          <a:avLst/>
        </a:prstGeom>
        <a:solidFill>
          <a:schemeClr val="accent2">
            <a:alpha val="60814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483062</xdr:colOff>
      <xdr:row>13</xdr:row>
      <xdr:rowOff>141767</xdr:rowOff>
    </xdr:from>
    <xdr:to>
      <xdr:col>12</xdr:col>
      <xdr:colOff>470371</xdr:colOff>
      <xdr:row>17</xdr:row>
      <xdr:rowOff>7839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9456175-7093-7142-8FDC-F97A9BF58A84}"/>
            </a:ext>
          </a:extLst>
        </xdr:cNvPr>
        <xdr:cNvSpPr/>
      </xdr:nvSpPr>
      <xdr:spPr>
        <a:xfrm>
          <a:off x="15811962" y="3177067"/>
          <a:ext cx="825509" cy="678872"/>
        </a:xfrm>
        <a:prstGeom prst="rect">
          <a:avLst/>
        </a:prstGeom>
        <a:solidFill>
          <a:schemeClr val="accent5">
            <a:alpha val="60814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531628</xdr:colOff>
      <xdr:row>8</xdr:row>
      <xdr:rowOff>141769</xdr:rowOff>
    </xdr:from>
    <xdr:to>
      <xdr:col>13</xdr:col>
      <xdr:colOff>466651</xdr:colOff>
      <xdr:row>12</xdr:row>
      <xdr:rowOff>189023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63F6096-40D7-3F41-8F9D-221A68E2DD3C}"/>
            </a:ext>
          </a:extLst>
        </xdr:cNvPr>
        <xdr:cNvSpPr/>
      </xdr:nvSpPr>
      <xdr:spPr>
        <a:xfrm>
          <a:off x="16698728" y="2161069"/>
          <a:ext cx="773223" cy="860054"/>
        </a:xfrm>
        <a:prstGeom prst="rect">
          <a:avLst/>
        </a:prstGeom>
        <a:solidFill>
          <a:schemeClr val="accent6">
            <a:alpha val="60814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620362</xdr:colOff>
      <xdr:row>14</xdr:row>
      <xdr:rowOff>160035</xdr:rowOff>
    </xdr:from>
    <xdr:to>
      <xdr:col>11</xdr:col>
      <xdr:colOff>306229</xdr:colOff>
      <xdr:row>16</xdr:row>
      <xdr:rowOff>9608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C74023-186E-384A-91FC-016FE653B59F}"/>
            </a:ext>
          </a:extLst>
        </xdr:cNvPr>
        <xdr:cNvSpPr txBox="1"/>
      </xdr:nvSpPr>
      <xdr:spPr>
        <a:xfrm>
          <a:off x="15111062" y="3398535"/>
          <a:ext cx="524067" cy="255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Buffer 1 </a:t>
          </a:r>
        </a:p>
      </xdr:txBody>
    </xdr:sp>
    <xdr:clientData/>
  </xdr:twoCellAnchor>
  <xdr:twoCellAnchor>
    <xdr:from>
      <xdr:col>11</xdr:col>
      <xdr:colOff>651562</xdr:colOff>
      <xdr:row>12</xdr:row>
      <xdr:rowOff>144033</xdr:rowOff>
    </xdr:from>
    <xdr:to>
      <xdr:col>12</xdr:col>
      <xdr:colOff>334926</xdr:colOff>
      <xdr:row>13</xdr:row>
      <xdr:rowOff>186793</xdr:rowOff>
    </xdr:to>
    <xdr:sp macro="" textlink="">
      <xdr:nvSpPr>
        <xdr:cNvPr id="60" name="TextBox 6">
          <a:extLst>
            <a:ext uri="{FF2B5EF4-FFF2-40B4-BE49-F238E27FC236}">
              <a16:creationId xmlns:a16="http://schemas.microsoft.com/office/drawing/2014/main" id="{6D746C70-A32E-3349-A34F-2C1288418526}"/>
            </a:ext>
          </a:extLst>
        </xdr:cNvPr>
        <xdr:cNvSpPr txBox="1"/>
      </xdr:nvSpPr>
      <xdr:spPr>
        <a:xfrm>
          <a:off x="15989726" y="2966255"/>
          <a:ext cx="523896" cy="245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Buffer 2 </a:t>
          </a:r>
        </a:p>
      </xdr:txBody>
    </xdr:sp>
    <xdr:clientData/>
  </xdr:twoCellAnchor>
  <xdr:twoCellAnchor>
    <xdr:from>
      <xdr:col>12</xdr:col>
      <xdr:colOff>678699</xdr:colOff>
      <xdr:row>7</xdr:row>
      <xdr:rowOff>165127</xdr:rowOff>
    </xdr:from>
    <xdr:to>
      <xdr:col>13</xdr:col>
      <xdr:colOff>368593</xdr:colOff>
      <xdr:row>9</xdr:row>
      <xdr:rowOff>6714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661EECF-16F5-9E48-8F9F-13F08D6A9423}"/>
            </a:ext>
          </a:extLst>
        </xdr:cNvPr>
        <xdr:cNvSpPr txBox="1"/>
      </xdr:nvSpPr>
      <xdr:spPr>
        <a:xfrm>
          <a:off x="16845799" y="1981227"/>
          <a:ext cx="528094" cy="2479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Buffer 3 </a:t>
          </a:r>
        </a:p>
      </xdr:txBody>
    </xdr:sp>
    <xdr:clientData/>
  </xdr:twoCellAnchor>
  <xdr:twoCellAnchor>
    <xdr:from>
      <xdr:col>10</xdr:col>
      <xdr:colOff>628690</xdr:colOff>
      <xdr:row>18</xdr:row>
      <xdr:rowOff>127380</xdr:rowOff>
    </xdr:from>
    <xdr:to>
      <xdr:col>11</xdr:col>
      <xdr:colOff>307162</xdr:colOff>
      <xdr:row>19</xdr:row>
      <xdr:rowOff>105992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6E593C1-0A2D-2F4C-8912-04CCD2573ADF}"/>
            </a:ext>
          </a:extLst>
        </xdr:cNvPr>
        <xdr:cNvSpPr txBox="1"/>
      </xdr:nvSpPr>
      <xdr:spPr>
        <a:xfrm>
          <a:off x="15119390" y="4178680"/>
          <a:ext cx="516672" cy="181812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900">
              <a:solidFill>
                <a:schemeClr val="bg1"/>
              </a:solidFill>
              <a:effectLst/>
            </a:rPr>
            <a:t> 1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661779</xdr:colOff>
      <xdr:row>18</xdr:row>
      <xdr:rowOff>107756</xdr:rowOff>
    </xdr:from>
    <xdr:to>
      <xdr:col>12</xdr:col>
      <xdr:colOff>307838</xdr:colOff>
      <xdr:row>19</xdr:row>
      <xdr:rowOff>86368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30155AF-6461-2945-A45B-3F15CA093734}"/>
            </a:ext>
          </a:extLst>
        </xdr:cNvPr>
        <xdr:cNvSpPr txBox="1"/>
      </xdr:nvSpPr>
      <xdr:spPr>
        <a:xfrm>
          <a:off x="15990679" y="4159056"/>
          <a:ext cx="484259" cy="181812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900">
              <a:solidFill>
                <a:schemeClr val="bg1"/>
              </a:solidFill>
              <a:effectLst/>
            </a:rPr>
            <a:t> </a:t>
          </a:r>
          <a:r>
            <a:rPr lang="en-US" sz="900" baseline="0">
              <a:solidFill>
                <a:schemeClr val="bg1"/>
              </a:solidFill>
              <a:effectLst/>
            </a:rPr>
            <a:t>R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42478</xdr:colOff>
      <xdr:row>10</xdr:row>
      <xdr:rowOff>27436</xdr:rowOff>
    </xdr:from>
    <xdr:to>
      <xdr:col>12</xdr:col>
      <xdr:colOff>460741</xdr:colOff>
      <xdr:row>13</xdr:row>
      <xdr:rowOff>30053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9C1D79A-2FC8-1945-8A85-0EB91E0FCC6F}"/>
            </a:ext>
          </a:extLst>
        </xdr:cNvPr>
        <xdr:cNvCxnSpPr/>
      </xdr:nvCxnSpPr>
      <xdr:spPr>
        <a:xfrm>
          <a:off x="16209578" y="2453136"/>
          <a:ext cx="418263" cy="612217"/>
        </a:xfrm>
        <a:prstGeom prst="line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630704</xdr:colOff>
      <xdr:row>9</xdr:row>
      <xdr:rowOff>125391</xdr:rowOff>
    </xdr:from>
    <xdr:to>
      <xdr:col>12</xdr:col>
      <xdr:colOff>141657</xdr:colOff>
      <xdr:row>10</xdr:row>
      <xdr:rowOff>105159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C65370A-285D-394D-A367-6EEA96516E65}"/>
            </a:ext>
          </a:extLst>
        </xdr:cNvPr>
        <xdr:cNvSpPr txBox="1"/>
      </xdr:nvSpPr>
      <xdr:spPr>
        <a:xfrm>
          <a:off x="15959604" y="2347891"/>
          <a:ext cx="349153" cy="182968"/>
        </a:xfrm>
        <a:prstGeom prst="rect">
          <a:avLst/>
        </a:prstGeom>
        <a:solidFill>
          <a:schemeClr val="accent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683262</xdr:colOff>
      <xdr:row>18</xdr:row>
      <xdr:rowOff>90997</xdr:rowOff>
    </xdr:from>
    <xdr:to>
      <xdr:col>13</xdr:col>
      <xdr:colOff>329320</xdr:colOff>
      <xdr:row>19</xdr:row>
      <xdr:rowOff>69609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D571E02-2374-854E-80A9-0E42E7111327}"/>
            </a:ext>
          </a:extLst>
        </xdr:cNvPr>
        <xdr:cNvSpPr txBox="1"/>
      </xdr:nvSpPr>
      <xdr:spPr>
        <a:xfrm>
          <a:off x="16850362" y="4142297"/>
          <a:ext cx="484258" cy="181812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900">
              <a:solidFill>
                <a:schemeClr val="bg1"/>
              </a:solidFill>
              <a:effectLst/>
            </a:rPr>
            <a:t> </a:t>
          </a:r>
          <a:r>
            <a:rPr lang="en-US" sz="900" baseline="0">
              <a:solidFill>
                <a:schemeClr val="bg1"/>
              </a:solidFill>
              <a:effectLst/>
            </a:rPr>
            <a:t>2</a:t>
          </a:r>
          <a:endParaRPr lang="en-US" sz="9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018D-AB26-E64A-9929-074F2B4AF725}">
  <dimension ref="A1:J26"/>
  <sheetViews>
    <sheetView zoomScale="114" zoomScaleNormal="200" workbookViewId="0">
      <selection activeCell="F25" sqref="F25"/>
    </sheetView>
  </sheetViews>
  <sheetFormatPr defaultColWidth="11" defaultRowHeight="15.75" x14ac:dyDescent="0.5"/>
  <cols>
    <col min="1" max="8" width="21.3125" customWidth="1"/>
    <col min="9" max="9" width="23.5" customWidth="1"/>
    <col min="10" max="10" width="22.6875" customWidth="1"/>
  </cols>
  <sheetData>
    <row r="1" spans="1:10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5">
      <c r="A2" s="4" t="s">
        <v>10</v>
      </c>
      <c r="B2" s="4">
        <v>0.1</v>
      </c>
      <c r="C2" s="4">
        <v>4.8</v>
      </c>
      <c r="D2" s="4">
        <v>4.2</v>
      </c>
      <c r="E2" s="4">
        <v>250</v>
      </c>
      <c r="F2" s="4">
        <v>82.03</v>
      </c>
      <c r="G2" s="14">
        <f>H2/F2</f>
        <v>25.000000000000004</v>
      </c>
      <c r="H2" s="14">
        <f>B2*F2/1000*E2*1000</f>
        <v>2050.7500000000005</v>
      </c>
      <c r="I2" s="14">
        <v>2061</v>
      </c>
      <c r="J2" s="14">
        <f>I2/F2</f>
        <v>25.124954285017676</v>
      </c>
    </row>
    <row r="3" spans="1:10" x14ac:dyDescent="0.5">
      <c r="A3" s="4" t="s">
        <v>11</v>
      </c>
      <c r="B3" s="4">
        <v>2.5000000000000001E-2</v>
      </c>
      <c r="C3" s="4">
        <v>4.8</v>
      </c>
      <c r="D3" s="4" t="s">
        <v>12</v>
      </c>
      <c r="E3" s="4">
        <v>100</v>
      </c>
      <c r="F3" s="4">
        <v>82.03</v>
      </c>
      <c r="G3" s="14">
        <f>H3/F3</f>
        <v>2.5000000000000009</v>
      </c>
      <c r="H3" s="14">
        <f>B3*F3/1000*E3*1000</f>
        <v>205.07500000000007</v>
      </c>
      <c r="I3" s="14"/>
      <c r="J3" s="14"/>
    </row>
    <row r="4" spans="1:10" x14ac:dyDescent="0.5">
      <c r="A4" s="1"/>
      <c r="B4" s="1"/>
      <c r="C4" s="1"/>
      <c r="D4" s="1"/>
      <c r="E4" s="1"/>
      <c r="F4" s="1"/>
      <c r="G4" s="1"/>
      <c r="H4" s="1"/>
    </row>
    <row r="5" spans="1:10" ht="26.65" x14ac:dyDescent="0.5">
      <c r="A5" s="5" t="s">
        <v>13</v>
      </c>
      <c r="B5" s="6"/>
      <c r="C5" s="6"/>
      <c r="D5" s="1"/>
      <c r="E5" s="1"/>
      <c r="F5" s="1"/>
      <c r="G5" s="1"/>
      <c r="H5" s="1"/>
    </row>
    <row r="6" spans="1:10" x14ac:dyDescent="0.5">
      <c r="A6" s="7" t="s">
        <v>14</v>
      </c>
      <c r="B6" s="7" t="s">
        <v>15</v>
      </c>
      <c r="C6" s="7" t="s">
        <v>16</v>
      </c>
      <c r="D6" s="2" t="s">
        <v>17</v>
      </c>
      <c r="E6" s="2" t="s">
        <v>18</v>
      </c>
      <c r="F6" s="1"/>
      <c r="G6" s="1"/>
      <c r="H6" s="1"/>
    </row>
    <row r="7" spans="1:10" x14ac:dyDescent="0.5">
      <c r="A7" s="6" t="s">
        <v>19</v>
      </c>
      <c r="B7" s="6">
        <v>1</v>
      </c>
      <c r="C7" s="16">
        <f>10^(D2-C2)</f>
        <v>0.25118864315095818</v>
      </c>
      <c r="D7" s="15">
        <f>G2/(1+C7)</f>
        <v>19.980999777172457</v>
      </c>
      <c r="E7" s="15">
        <f>G2-D7</f>
        <v>5.0190002228275468</v>
      </c>
      <c r="F7" s="1"/>
      <c r="G7" s="1"/>
      <c r="H7" s="1"/>
    </row>
    <row r="8" spans="1:10" x14ac:dyDescent="0.5">
      <c r="A8" s="6"/>
      <c r="B8" s="6"/>
      <c r="C8" s="6"/>
      <c r="D8" s="1"/>
      <c r="E8" s="1"/>
      <c r="F8" s="1"/>
      <c r="G8" s="1"/>
      <c r="H8" s="1"/>
    </row>
    <row r="9" spans="1:10" x14ac:dyDescent="0.5">
      <c r="A9" s="6"/>
      <c r="B9" s="6"/>
      <c r="C9" s="6"/>
      <c r="D9" s="1"/>
      <c r="E9" s="1"/>
      <c r="F9" s="1"/>
      <c r="G9" s="1"/>
      <c r="H9" s="1"/>
    </row>
    <row r="10" spans="1:10" ht="26.65" x14ac:dyDescent="0.5">
      <c r="A10" s="5" t="s">
        <v>20</v>
      </c>
      <c r="B10" s="6"/>
      <c r="C10" s="6"/>
      <c r="D10" s="1"/>
      <c r="E10" s="1"/>
      <c r="F10" s="1"/>
      <c r="G10" s="1"/>
      <c r="H10" s="1"/>
    </row>
    <row r="11" spans="1:10" ht="26.65" x14ac:dyDescent="0.5">
      <c r="A11" s="8" t="s">
        <v>21</v>
      </c>
      <c r="B11" s="8" t="s">
        <v>22</v>
      </c>
      <c r="C11" s="6"/>
      <c r="D11" s="1"/>
      <c r="E11" s="1"/>
      <c r="F11" s="1"/>
      <c r="G11" s="1"/>
      <c r="H11" s="1"/>
    </row>
    <row r="12" spans="1:10" x14ac:dyDescent="0.5">
      <c r="A12" s="9">
        <f>B3*E3/B2</f>
        <v>25</v>
      </c>
      <c r="B12" s="9">
        <f>E3-A12</f>
        <v>75</v>
      </c>
      <c r="C12" s="6"/>
      <c r="D12" s="1"/>
      <c r="E12" s="1"/>
      <c r="F12" s="1"/>
      <c r="G12" s="1"/>
      <c r="H12" s="1"/>
    </row>
    <row r="13" spans="1:10" x14ac:dyDescent="0.5">
      <c r="A13" s="1"/>
      <c r="B13" s="1"/>
      <c r="C13" s="1"/>
      <c r="D13" s="1"/>
      <c r="E13" s="1"/>
      <c r="F13" s="1"/>
      <c r="G13" s="1"/>
      <c r="H13" s="1"/>
    </row>
    <row r="14" spans="1:10" x14ac:dyDescent="0.5">
      <c r="A14" s="1"/>
      <c r="B14" s="1"/>
      <c r="C14" s="1"/>
      <c r="D14" s="1"/>
      <c r="E14" s="1"/>
      <c r="F14" s="1"/>
      <c r="G14" s="1"/>
      <c r="H14" s="1"/>
    </row>
    <row r="15" spans="1:10" x14ac:dyDescent="0.5">
      <c r="A15" s="1"/>
      <c r="B15" s="1"/>
      <c r="C15" s="1"/>
      <c r="D15" s="1"/>
      <c r="E15" s="1"/>
      <c r="F15" s="1"/>
      <c r="G15" s="1"/>
      <c r="H15" s="1"/>
    </row>
    <row r="18" spans="1:7" x14ac:dyDescent="0.5">
      <c r="D18" s="19"/>
    </row>
    <row r="21" spans="1:7" ht="16.149999999999999" thickBot="1" x14ac:dyDescent="0.55000000000000004"/>
    <row r="22" spans="1:7" ht="29.65" thickBot="1" x14ac:dyDescent="0.55000000000000004">
      <c r="A22" s="20" t="s">
        <v>36</v>
      </c>
      <c r="B22" s="21" t="s">
        <v>44</v>
      </c>
      <c r="C22" s="21" t="s">
        <v>45</v>
      </c>
      <c r="D22" s="21" t="s">
        <v>46</v>
      </c>
      <c r="E22" s="21" t="s">
        <v>47</v>
      </c>
      <c r="F22" s="21" t="s">
        <v>37</v>
      </c>
      <c r="G22" s="21" t="s">
        <v>38</v>
      </c>
    </row>
    <row r="23" spans="1:7" ht="25.5" thickBot="1" x14ac:dyDescent="0.55000000000000004">
      <c r="A23" s="22" t="s">
        <v>39</v>
      </c>
      <c r="B23" s="23">
        <v>2.35</v>
      </c>
      <c r="C23" s="23">
        <v>9.7799999999999994</v>
      </c>
      <c r="D23" s="23" t="s">
        <v>40</v>
      </c>
      <c r="E23" s="23">
        <v>6.07</v>
      </c>
      <c r="F23" s="23">
        <v>75.069999999999993</v>
      </c>
      <c r="G23" s="23">
        <v>0.1</v>
      </c>
    </row>
    <row r="24" spans="1:7" ht="25.5" thickBot="1" x14ac:dyDescent="0.55000000000000004">
      <c r="A24" s="22" t="s">
        <v>41</v>
      </c>
      <c r="B24" s="23">
        <v>1.81</v>
      </c>
      <c r="C24" s="23">
        <v>9.15</v>
      </c>
      <c r="D24" s="23">
        <v>6</v>
      </c>
      <c r="E24" s="23">
        <v>7.58</v>
      </c>
      <c r="F24" s="23">
        <v>209.63200000000001</v>
      </c>
      <c r="G24" s="23">
        <v>0.1</v>
      </c>
    </row>
    <row r="25" spans="1:7" ht="25.5" thickBot="1" x14ac:dyDescent="0.55000000000000004">
      <c r="A25" s="22" t="s">
        <v>42</v>
      </c>
      <c r="B25" s="23">
        <v>2.1800000000000002</v>
      </c>
      <c r="C25" s="23">
        <v>8.9499999999999993</v>
      </c>
      <c r="D25" s="23">
        <v>10.53</v>
      </c>
      <c r="E25" s="23">
        <v>9.74</v>
      </c>
      <c r="F25" s="23">
        <v>182.65299999999999</v>
      </c>
      <c r="G25" s="23">
        <v>0.1</v>
      </c>
    </row>
    <row r="26" spans="1:7" ht="25.5" thickBot="1" x14ac:dyDescent="0.55000000000000004">
      <c r="A26" s="22" t="s">
        <v>43</v>
      </c>
      <c r="B26" s="23">
        <v>2.19</v>
      </c>
      <c r="C26" s="23">
        <v>9.67</v>
      </c>
      <c r="D26" s="23">
        <v>4.25</v>
      </c>
      <c r="E26" s="23">
        <v>3.22</v>
      </c>
      <c r="F26" s="23">
        <v>146.13</v>
      </c>
      <c r="G26" s="2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5B5D-D765-2C43-8C20-50D5AB1D15AA}">
  <sheetPr>
    <tabColor theme="8"/>
  </sheetPr>
  <dimension ref="A1:S171"/>
  <sheetViews>
    <sheetView topLeftCell="A129" zoomScale="92" zoomScaleNormal="75" workbookViewId="0">
      <selection activeCell="G146" sqref="G146"/>
    </sheetView>
  </sheetViews>
  <sheetFormatPr defaultColWidth="11" defaultRowHeight="15.75" x14ac:dyDescent="0.5"/>
  <cols>
    <col min="1" max="1" width="25.3125" customWidth="1"/>
    <col min="2" max="2" width="13.8125" customWidth="1"/>
    <col min="3" max="8" width="21.5" style="10" customWidth="1"/>
  </cols>
  <sheetData>
    <row r="1" spans="1:19" ht="26.65" x14ac:dyDescent="0.5">
      <c r="A1" s="3" t="s">
        <v>23</v>
      </c>
      <c r="B1" s="4">
        <v>6.61</v>
      </c>
      <c r="C1" s="13" t="s">
        <v>24</v>
      </c>
      <c r="D1" s="12" t="s">
        <v>25</v>
      </c>
      <c r="E1" s="12" t="s">
        <v>26</v>
      </c>
      <c r="F1" s="12" t="s">
        <v>27</v>
      </c>
      <c r="G1" s="12" t="s">
        <v>28</v>
      </c>
    </row>
    <row r="2" spans="1:19" x14ac:dyDescent="0.5">
      <c r="A2" s="3" t="s">
        <v>29</v>
      </c>
      <c r="B2" s="17">
        <v>1.27</v>
      </c>
      <c r="C2" s="11">
        <v>6.61</v>
      </c>
      <c r="D2" s="11">
        <f>C2-$B$1</f>
        <v>0</v>
      </c>
      <c r="E2" s="11">
        <v>1.27</v>
      </c>
      <c r="F2" s="11">
        <f t="shared" ref="F2" si="0">(D2)*($B$3)</f>
        <v>0</v>
      </c>
      <c r="G2" s="11">
        <f>F2/$B$6</f>
        <v>0</v>
      </c>
    </row>
    <row r="3" spans="1:19" ht="34.049999999999997" customHeight="1" x14ac:dyDescent="0.5">
      <c r="A3" s="3" t="s">
        <v>30</v>
      </c>
      <c r="B3" s="17">
        <v>0.1</v>
      </c>
      <c r="C3" s="11">
        <v>6.93</v>
      </c>
      <c r="D3" s="11">
        <f t="shared" ref="D3:D8" si="1">C3- $B$1</f>
        <v>0.3199999999999994</v>
      </c>
      <c r="E3" s="11">
        <v>1.28</v>
      </c>
      <c r="F3" s="11">
        <f>(D3/1000)*($B$3)</f>
        <v>3.1999999999999938E-5</v>
      </c>
      <c r="G3" s="11">
        <f>F3/$B$6</f>
        <v>3.1999999999999938E-2</v>
      </c>
      <c r="R3" s="41" t="s">
        <v>48</v>
      </c>
      <c r="S3" s="41"/>
    </row>
    <row r="4" spans="1:19" x14ac:dyDescent="0.5">
      <c r="A4" s="3" t="s">
        <v>31</v>
      </c>
      <c r="B4" s="17">
        <v>0.1</v>
      </c>
      <c r="C4" s="11">
        <v>8</v>
      </c>
      <c r="D4" s="11">
        <f t="shared" si="1"/>
        <v>1.3899999999999997</v>
      </c>
      <c r="E4" s="11">
        <v>1.28</v>
      </c>
      <c r="F4" s="11">
        <f t="shared" ref="F4:F63" si="2">(D4/1000)*($B$3)</f>
        <v>1.3899999999999999E-4</v>
      </c>
      <c r="G4" s="11">
        <f t="shared" ref="G4:G39" si="3">F4/$B$6</f>
        <v>0.13899999999999998</v>
      </c>
      <c r="R4" s="18" t="s">
        <v>32</v>
      </c>
      <c r="S4" s="18" t="s">
        <v>33</v>
      </c>
    </row>
    <row r="5" spans="1:19" x14ac:dyDescent="0.5">
      <c r="A5" s="3" t="s">
        <v>34</v>
      </c>
      <c r="B5" s="17">
        <v>10</v>
      </c>
      <c r="C5" s="11">
        <v>8.5399999999999991</v>
      </c>
      <c r="D5" s="11">
        <f t="shared" si="1"/>
        <v>1.9299999999999988</v>
      </c>
      <c r="E5" s="11">
        <v>1.29</v>
      </c>
      <c r="F5" s="11">
        <f t="shared" si="2"/>
        <v>1.9299999999999989E-4</v>
      </c>
      <c r="G5" s="11">
        <f t="shared" si="3"/>
        <v>0.19299999999999989</v>
      </c>
      <c r="R5">
        <v>8.5169999999999995</v>
      </c>
      <c r="S5">
        <v>2.46</v>
      </c>
    </row>
    <row r="6" spans="1:19" x14ac:dyDescent="0.5">
      <c r="A6" s="3" t="s">
        <v>35</v>
      </c>
      <c r="B6" s="17">
        <f>B4*(B5/1000)</f>
        <v>1E-3</v>
      </c>
      <c r="C6" s="11">
        <v>9.01</v>
      </c>
      <c r="D6" s="11">
        <f t="shared" si="1"/>
        <v>2.3999999999999995</v>
      </c>
      <c r="E6" s="11">
        <v>1.29</v>
      </c>
      <c r="F6" s="11">
        <f t="shared" si="2"/>
        <v>2.3999999999999995E-4</v>
      </c>
      <c r="G6" s="11">
        <f t="shared" si="3"/>
        <v>0.23999999999999994</v>
      </c>
    </row>
    <row r="7" spans="1:19" x14ac:dyDescent="0.5">
      <c r="A7" s="1"/>
      <c r="B7" s="1"/>
      <c r="C7" s="11">
        <v>9.49</v>
      </c>
      <c r="D7" s="11">
        <f t="shared" si="1"/>
        <v>2.88</v>
      </c>
      <c r="E7" s="11">
        <v>1.29</v>
      </c>
      <c r="F7" s="11">
        <f t="shared" si="2"/>
        <v>2.8800000000000001E-4</v>
      </c>
      <c r="G7" s="11">
        <f t="shared" si="3"/>
        <v>0.28799999999999998</v>
      </c>
    </row>
    <row r="8" spans="1:19" x14ac:dyDescent="0.5">
      <c r="A8" s="1"/>
      <c r="B8" s="1"/>
      <c r="C8" s="11">
        <v>9.9499999999999993</v>
      </c>
      <c r="D8" s="11">
        <f t="shared" si="1"/>
        <v>3.339999999999999</v>
      </c>
      <c r="E8" s="11">
        <v>1.29</v>
      </c>
      <c r="F8" s="11">
        <f t="shared" si="2"/>
        <v>3.3399999999999988E-4</v>
      </c>
      <c r="G8" s="11">
        <f t="shared" si="3"/>
        <v>0.33399999999999985</v>
      </c>
      <c r="R8" s="40" t="s">
        <v>49</v>
      </c>
      <c r="S8" s="40"/>
    </row>
    <row r="9" spans="1:19" x14ac:dyDescent="0.5">
      <c r="A9" s="1"/>
      <c r="B9" s="1"/>
      <c r="C9" s="11">
        <v>10.6</v>
      </c>
      <c r="D9" s="11">
        <f t="shared" ref="D9:D13" si="4">C9-$B$1</f>
        <v>3.9899999999999993</v>
      </c>
      <c r="E9" s="33">
        <v>1.3</v>
      </c>
      <c r="F9" s="11">
        <f t="shared" si="2"/>
        <v>3.9899999999999999E-4</v>
      </c>
      <c r="G9" s="11">
        <f t="shared" si="3"/>
        <v>0.39899999999999997</v>
      </c>
      <c r="R9" s="18" t="s">
        <v>32</v>
      </c>
      <c r="S9" s="18" t="s">
        <v>33</v>
      </c>
    </row>
    <row r="10" spans="1:19" x14ac:dyDescent="0.5">
      <c r="A10" s="1"/>
      <c r="B10" s="1"/>
      <c r="C10" s="11">
        <v>11.05</v>
      </c>
      <c r="D10" s="11">
        <f t="shared" si="4"/>
        <v>4.4400000000000004</v>
      </c>
      <c r="E10" s="33">
        <v>1.3</v>
      </c>
      <c r="F10" s="11">
        <f t="shared" si="2"/>
        <v>4.4400000000000006E-4</v>
      </c>
      <c r="G10" s="11">
        <f t="shared" si="3"/>
        <v>0.44400000000000006</v>
      </c>
      <c r="R10">
        <v>8.0180000000000007</v>
      </c>
      <c r="S10">
        <v>2.2599999999999998</v>
      </c>
    </row>
    <row r="11" spans="1:19" x14ac:dyDescent="0.5">
      <c r="A11" s="1"/>
      <c r="B11" s="1"/>
      <c r="C11" s="11">
        <v>11.45</v>
      </c>
      <c r="D11" s="11">
        <f t="shared" si="4"/>
        <v>4.839999999999999</v>
      </c>
      <c r="E11" s="11">
        <v>1.31</v>
      </c>
      <c r="F11" s="11">
        <f t="shared" si="2"/>
        <v>4.8399999999999989E-4</v>
      </c>
      <c r="G11" s="11">
        <f t="shared" si="3"/>
        <v>0.48399999999999987</v>
      </c>
    </row>
    <row r="12" spans="1:19" x14ac:dyDescent="0.5">
      <c r="A12" s="1"/>
      <c r="B12" s="1"/>
      <c r="C12" s="32">
        <v>12</v>
      </c>
      <c r="D12" s="11">
        <f t="shared" si="4"/>
        <v>5.39</v>
      </c>
      <c r="E12" s="11">
        <v>1.31</v>
      </c>
      <c r="F12" s="11">
        <f t="shared" si="2"/>
        <v>5.3899999999999998E-4</v>
      </c>
      <c r="G12" s="11">
        <f t="shared" si="3"/>
        <v>0.53899999999999992</v>
      </c>
    </row>
    <row r="13" spans="1:19" x14ac:dyDescent="0.5">
      <c r="A13" s="1"/>
      <c r="B13" s="1"/>
      <c r="C13" s="11">
        <v>12.52</v>
      </c>
      <c r="D13" s="11">
        <f t="shared" si="4"/>
        <v>5.9099999999999993</v>
      </c>
      <c r="E13" s="11">
        <v>1.32</v>
      </c>
      <c r="F13" s="11">
        <f t="shared" si="2"/>
        <v>5.9099999999999995E-4</v>
      </c>
      <c r="G13" s="11">
        <f t="shared" si="3"/>
        <v>0.59099999999999997</v>
      </c>
      <c r="R13" s="41" t="s">
        <v>50</v>
      </c>
      <c r="S13" s="41"/>
    </row>
    <row r="14" spans="1:19" x14ac:dyDescent="0.5">
      <c r="A14" s="1"/>
      <c r="B14" s="1"/>
      <c r="C14" s="11">
        <v>13.02</v>
      </c>
      <c r="D14" s="11">
        <f t="shared" ref="D14:D20" si="5">C14-$B$1</f>
        <v>6.4099999999999993</v>
      </c>
      <c r="E14" s="11">
        <v>1.32</v>
      </c>
      <c r="F14" s="11">
        <f t="shared" si="2"/>
        <v>6.4099999999999997E-4</v>
      </c>
      <c r="G14" s="11">
        <f t="shared" si="3"/>
        <v>0.6409999999999999</v>
      </c>
      <c r="R14" s="18" t="s">
        <v>32</v>
      </c>
      <c r="S14" s="18" t="s">
        <v>33</v>
      </c>
    </row>
    <row r="15" spans="1:19" x14ac:dyDescent="0.5">
      <c r="A15" s="1"/>
      <c r="B15" s="1"/>
      <c r="C15" s="11">
        <v>13.55</v>
      </c>
      <c r="D15" s="11">
        <f t="shared" si="5"/>
        <v>6.94</v>
      </c>
      <c r="E15" s="11">
        <v>1.33</v>
      </c>
      <c r="F15" s="11">
        <f t="shared" si="2"/>
        <v>6.9400000000000006E-4</v>
      </c>
      <c r="G15" s="11">
        <f t="shared" si="3"/>
        <v>0.69400000000000006</v>
      </c>
      <c r="R15">
        <v>9.5039999999999996</v>
      </c>
      <c r="S15">
        <v>4.09</v>
      </c>
    </row>
    <row r="16" spans="1:19" x14ac:dyDescent="0.5">
      <c r="A16" s="1"/>
      <c r="B16" s="1"/>
      <c r="C16" s="11">
        <v>14.01</v>
      </c>
      <c r="D16" s="11">
        <f t="shared" si="5"/>
        <v>7.3999999999999995</v>
      </c>
      <c r="E16" s="11">
        <v>1.34</v>
      </c>
      <c r="F16" s="11">
        <f t="shared" si="2"/>
        <v>7.3999999999999999E-4</v>
      </c>
      <c r="G16" s="11">
        <f t="shared" si="3"/>
        <v>0.74</v>
      </c>
    </row>
    <row r="17" spans="1:19" x14ac:dyDescent="0.5">
      <c r="A17" s="1"/>
      <c r="B17" s="1"/>
      <c r="C17" s="11">
        <v>14.48</v>
      </c>
      <c r="D17" s="11">
        <f t="shared" si="5"/>
        <v>7.87</v>
      </c>
      <c r="E17" s="11">
        <v>1.34</v>
      </c>
      <c r="F17" s="11">
        <f t="shared" si="2"/>
        <v>7.8700000000000005E-4</v>
      </c>
      <c r="G17" s="11">
        <f>F17/$B$6</f>
        <v>0.78700000000000003</v>
      </c>
    </row>
    <row r="18" spans="1:19" x14ac:dyDescent="0.5">
      <c r="A18" s="1"/>
      <c r="B18" s="1"/>
      <c r="C18" s="11">
        <v>14.95</v>
      </c>
      <c r="D18" s="11">
        <f t="shared" si="5"/>
        <v>8.34</v>
      </c>
      <c r="E18" s="11">
        <v>1.35</v>
      </c>
      <c r="F18" s="11">
        <f t="shared" si="2"/>
        <v>8.3400000000000011E-4</v>
      </c>
      <c r="G18" s="11">
        <f t="shared" si="3"/>
        <v>0.83400000000000007</v>
      </c>
      <c r="R18" s="40" t="s">
        <v>51</v>
      </c>
      <c r="S18" s="40"/>
    </row>
    <row r="19" spans="1:19" x14ac:dyDescent="0.5">
      <c r="A19" s="1"/>
      <c r="B19" s="1"/>
      <c r="C19" s="11">
        <v>15.51</v>
      </c>
      <c r="D19" s="11">
        <f t="shared" si="5"/>
        <v>8.8999999999999986</v>
      </c>
      <c r="E19" s="11">
        <v>1.35</v>
      </c>
      <c r="F19" s="11">
        <f t="shared" si="2"/>
        <v>8.8999999999999984E-4</v>
      </c>
      <c r="G19" s="11">
        <f t="shared" si="3"/>
        <v>0.88999999999999979</v>
      </c>
      <c r="R19" s="18" t="s">
        <v>32</v>
      </c>
      <c r="S19" s="18" t="s">
        <v>33</v>
      </c>
    </row>
    <row r="20" spans="1:19" x14ac:dyDescent="0.5">
      <c r="A20" s="1"/>
      <c r="B20" s="1"/>
      <c r="C20" s="11">
        <v>16.04</v>
      </c>
      <c r="D20" s="11">
        <f t="shared" si="5"/>
        <v>9.43</v>
      </c>
      <c r="E20" s="11">
        <v>1.36</v>
      </c>
      <c r="F20" s="11">
        <f t="shared" si="2"/>
        <v>9.4299999999999994E-4</v>
      </c>
      <c r="G20" s="11">
        <f t="shared" si="3"/>
        <v>0.94299999999999995</v>
      </c>
      <c r="M20" s="38"/>
      <c r="R20">
        <v>9.0139999999999993</v>
      </c>
      <c r="S20">
        <v>2.79</v>
      </c>
    </row>
    <row r="21" spans="1:19" x14ac:dyDescent="0.5">
      <c r="A21" s="1"/>
      <c r="B21" s="1"/>
      <c r="C21" s="33">
        <v>16.5</v>
      </c>
      <c r="D21" s="11">
        <f t="shared" ref="D21:D63" si="6">C21-$B$1</f>
        <v>9.89</v>
      </c>
      <c r="E21" s="11">
        <v>1.37</v>
      </c>
      <c r="F21" s="11">
        <f t="shared" si="2"/>
        <v>9.8900000000000008E-4</v>
      </c>
      <c r="G21" s="11">
        <f t="shared" si="3"/>
        <v>0.9890000000000001</v>
      </c>
    </row>
    <row r="22" spans="1:19" x14ac:dyDescent="0.5">
      <c r="C22" s="11">
        <v>16.989999999999998</v>
      </c>
      <c r="D22" s="11">
        <f t="shared" si="6"/>
        <v>10.379999999999999</v>
      </c>
      <c r="E22" s="11">
        <v>1.38</v>
      </c>
      <c r="F22" s="11">
        <f t="shared" si="2"/>
        <v>1.0379999999999999E-3</v>
      </c>
      <c r="G22" s="11">
        <f t="shared" si="3"/>
        <v>1.0379999999999998</v>
      </c>
    </row>
    <row r="23" spans="1:19" x14ac:dyDescent="0.5">
      <c r="C23" s="11">
        <v>17.54</v>
      </c>
      <c r="D23" s="11">
        <f t="shared" si="6"/>
        <v>10.93</v>
      </c>
      <c r="E23" s="11">
        <v>1.38</v>
      </c>
      <c r="F23" s="11">
        <f t="shared" si="2"/>
        <v>1.093E-3</v>
      </c>
      <c r="G23" s="11">
        <f t="shared" si="3"/>
        <v>1.093</v>
      </c>
      <c r="R23" s="41" t="s">
        <v>52</v>
      </c>
      <c r="S23" s="41"/>
    </row>
    <row r="24" spans="1:19" x14ac:dyDescent="0.5">
      <c r="C24" s="11">
        <v>18.010000000000002</v>
      </c>
      <c r="D24" s="11">
        <f t="shared" si="6"/>
        <v>11.400000000000002</v>
      </c>
      <c r="E24" s="11">
        <v>1.39</v>
      </c>
      <c r="F24" s="11">
        <f t="shared" si="2"/>
        <v>1.1400000000000002E-3</v>
      </c>
      <c r="G24" s="11">
        <f t="shared" si="3"/>
        <v>1.1400000000000001</v>
      </c>
      <c r="R24" s="18" t="s">
        <v>32</v>
      </c>
      <c r="S24" s="18" t="s">
        <v>33</v>
      </c>
    </row>
    <row r="25" spans="1:19" x14ac:dyDescent="0.5">
      <c r="C25" s="33">
        <v>18.5</v>
      </c>
      <c r="D25" s="11">
        <f t="shared" si="6"/>
        <v>11.89</v>
      </c>
      <c r="E25" s="33">
        <v>1.4</v>
      </c>
      <c r="F25" s="11">
        <f t="shared" si="2"/>
        <v>1.1890000000000002E-3</v>
      </c>
      <c r="G25" s="11">
        <f t="shared" si="3"/>
        <v>1.1890000000000001</v>
      </c>
      <c r="R25">
        <v>10.516</v>
      </c>
      <c r="S25">
        <v>7.88</v>
      </c>
    </row>
    <row r="26" spans="1:19" x14ac:dyDescent="0.5">
      <c r="C26" s="11">
        <v>18.98</v>
      </c>
      <c r="D26" s="11">
        <f t="shared" si="6"/>
        <v>12.370000000000001</v>
      </c>
      <c r="E26" s="33">
        <v>1.4</v>
      </c>
      <c r="F26" s="11">
        <f t="shared" si="2"/>
        <v>1.2370000000000003E-3</v>
      </c>
      <c r="G26" s="11">
        <f t="shared" si="3"/>
        <v>1.2370000000000003</v>
      </c>
    </row>
    <row r="27" spans="1:19" x14ac:dyDescent="0.5">
      <c r="C27" s="33">
        <v>19.48</v>
      </c>
      <c r="D27" s="33">
        <f t="shared" si="6"/>
        <v>12.870000000000001</v>
      </c>
      <c r="E27" s="33">
        <v>1.41</v>
      </c>
      <c r="F27" s="11">
        <f t="shared" si="2"/>
        <v>1.2870000000000002E-3</v>
      </c>
      <c r="G27" s="11">
        <f t="shared" si="3"/>
        <v>1.2870000000000001</v>
      </c>
    </row>
    <row r="28" spans="1:19" x14ac:dyDescent="0.5">
      <c r="C28" s="33">
        <v>19.97</v>
      </c>
      <c r="D28" s="33">
        <f t="shared" si="6"/>
        <v>13.36</v>
      </c>
      <c r="E28" s="33">
        <v>1.41</v>
      </c>
      <c r="F28" s="11">
        <f t="shared" si="2"/>
        <v>1.3359999999999999E-3</v>
      </c>
      <c r="G28" s="11">
        <f t="shared" si="3"/>
        <v>1.3359999999999999</v>
      </c>
      <c r="R28" s="40" t="s">
        <v>53</v>
      </c>
      <c r="S28" s="40"/>
    </row>
    <row r="29" spans="1:19" x14ac:dyDescent="0.5">
      <c r="C29" s="33">
        <v>25.54</v>
      </c>
      <c r="D29" s="33">
        <f t="shared" si="6"/>
        <v>18.93</v>
      </c>
      <c r="E29" s="33">
        <v>1.42</v>
      </c>
      <c r="F29" s="11">
        <f t="shared" si="2"/>
        <v>1.8929999999999999E-3</v>
      </c>
      <c r="G29" s="11">
        <f t="shared" si="3"/>
        <v>1.8929999999999998</v>
      </c>
      <c r="R29" s="18" t="s">
        <v>32</v>
      </c>
      <c r="S29" s="18" t="s">
        <v>33</v>
      </c>
    </row>
    <row r="30" spans="1:19" x14ac:dyDescent="0.5">
      <c r="C30" s="33">
        <v>21</v>
      </c>
      <c r="D30" s="33">
        <f t="shared" si="6"/>
        <v>14.39</v>
      </c>
      <c r="E30" s="33">
        <v>1.43</v>
      </c>
      <c r="F30" s="11">
        <f t="shared" si="2"/>
        <v>1.4390000000000002E-3</v>
      </c>
      <c r="G30" s="11">
        <f t="shared" si="3"/>
        <v>1.4390000000000001</v>
      </c>
      <c r="R30">
        <v>10.013999999999999</v>
      </c>
      <c r="S30">
        <v>6.16</v>
      </c>
    </row>
    <row r="31" spans="1:19" x14ac:dyDescent="0.5">
      <c r="C31" s="33">
        <v>21.5</v>
      </c>
      <c r="D31" s="33">
        <f t="shared" si="6"/>
        <v>14.89</v>
      </c>
      <c r="E31" s="33">
        <v>1.43</v>
      </c>
      <c r="F31" s="11">
        <f t="shared" si="2"/>
        <v>1.4890000000000001E-3</v>
      </c>
      <c r="G31" s="11">
        <f t="shared" si="3"/>
        <v>1.4890000000000001</v>
      </c>
    </row>
    <row r="32" spans="1:19" x14ac:dyDescent="0.5">
      <c r="C32" s="33">
        <v>21.92</v>
      </c>
      <c r="D32" s="33">
        <f t="shared" si="6"/>
        <v>15.310000000000002</v>
      </c>
      <c r="E32" s="33">
        <v>1.43</v>
      </c>
      <c r="F32" s="11">
        <f t="shared" si="2"/>
        <v>1.5310000000000002E-3</v>
      </c>
      <c r="G32" s="11">
        <f t="shared" si="3"/>
        <v>1.5310000000000001</v>
      </c>
      <c r="R32" s="40" t="s">
        <v>55</v>
      </c>
      <c r="S32" s="40"/>
    </row>
    <row r="33" spans="3:19" x14ac:dyDescent="0.5">
      <c r="C33" s="33">
        <v>22.55</v>
      </c>
      <c r="D33" s="33">
        <f t="shared" si="6"/>
        <v>15.940000000000001</v>
      </c>
      <c r="E33" s="33">
        <v>1.44</v>
      </c>
      <c r="F33" s="11">
        <f t="shared" si="2"/>
        <v>1.5940000000000004E-3</v>
      </c>
      <c r="G33" s="11">
        <f t="shared" si="3"/>
        <v>1.5940000000000003</v>
      </c>
      <c r="R33" s="18" t="s">
        <v>32</v>
      </c>
      <c r="S33" s="18" t="s">
        <v>33</v>
      </c>
    </row>
    <row r="34" spans="3:19" x14ac:dyDescent="0.5">
      <c r="C34" s="33">
        <v>22.97</v>
      </c>
      <c r="D34" s="33">
        <f t="shared" si="6"/>
        <v>16.36</v>
      </c>
      <c r="E34" s="33">
        <v>1.44</v>
      </c>
      <c r="F34" s="11">
        <f t="shared" si="2"/>
        <v>1.6360000000000001E-3</v>
      </c>
      <c r="G34" s="11">
        <f t="shared" si="3"/>
        <v>1.6360000000000001</v>
      </c>
      <c r="R34">
        <v>10.51</v>
      </c>
      <c r="S34">
        <v>7.88</v>
      </c>
    </row>
    <row r="35" spans="3:19" x14ac:dyDescent="0.5">
      <c r="C35" s="33">
        <v>23.51</v>
      </c>
      <c r="D35" s="33">
        <f t="shared" si="6"/>
        <v>16.900000000000002</v>
      </c>
      <c r="E35" s="33">
        <v>1.44</v>
      </c>
      <c r="F35" s="11">
        <f t="shared" si="2"/>
        <v>1.6900000000000003E-3</v>
      </c>
      <c r="G35" s="11">
        <f t="shared" si="3"/>
        <v>1.6900000000000002</v>
      </c>
    </row>
    <row r="36" spans="3:19" x14ac:dyDescent="0.5">
      <c r="C36" s="33">
        <v>23.99</v>
      </c>
      <c r="D36" s="33">
        <f t="shared" si="6"/>
        <v>17.38</v>
      </c>
      <c r="E36" s="33">
        <v>1.45</v>
      </c>
      <c r="F36" s="11">
        <f t="shared" si="2"/>
        <v>1.738E-3</v>
      </c>
      <c r="G36" s="11">
        <f t="shared" si="3"/>
        <v>1.738</v>
      </c>
    </row>
    <row r="37" spans="3:19" x14ac:dyDescent="0.5">
      <c r="C37" s="33">
        <v>24.49</v>
      </c>
      <c r="D37" s="33">
        <f t="shared" si="6"/>
        <v>17.88</v>
      </c>
      <c r="E37" s="33">
        <v>1.45</v>
      </c>
      <c r="F37" s="11">
        <f>(D37/1000)*($B$3)</f>
        <v>1.7880000000000001E-3</v>
      </c>
      <c r="G37" s="11">
        <f t="shared" si="3"/>
        <v>1.788</v>
      </c>
    </row>
    <row r="38" spans="3:19" x14ac:dyDescent="0.5">
      <c r="C38" s="33">
        <v>25.03</v>
      </c>
      <c r="D38" s="33">
        <f t="shared" si="6"/>
        <v>18.420000000000002</v>
      </c>
      <c r="E38" s="33">
        <v>1.46</v>
      </c>
      <c r="F38" s="11">
        <f t="shared" si="2"/>
        <v>1.8420000000000003E-3</v>
      </c>
      <c r="G38" s="11">
        <f t="shared" si="3"/>
        <v>1.8420000000000003</v>
      </c>
    </row>
    <row r="39" spans="3:19" x14ac:dyDescent="0.5">
      <c r="C39" s="33">
        <v>25.51</v>
      </c>
      <c r="D39" s="33">
        <f t="shared" si="6"/>
        <v>18.900000000000002</v>
      </c>
      <c r="E39" s="33">
        <v>1.46</v>
      </c>
      <c r="F39" s="11">
        <f t="shared" si="2"/>
        <v>1.8900000000000004E-3</v>
      </c>
      <c r="G39" s="11">
        <f t="shared" si="3"/>
        <v>1.8900000000000003</v>
      </c>
    </row>
    <row r="40" spans="3:19" x14ac:dyDescent="0.5">
      <c r="C40" s="33">
        <v>26.05</v>
      </c>
      <c r="D40" s="33">
        <f t="shared" si="6"/>
        <v>19.440000000000001</v>
      </c>
      <c r="E40" s="33">
        <v>1.46</v>
      </c>
      <c r="F40" s="11">
        <f t="shared" si="2"/>
        <v>1.9440000000000004E-3</v>
      </c>
      <c r="G40" s="11">
        <f>F40/$B$6</f>
        <v>1.9440000000000004</v>
      </c>
    </row>
    <row r="41" spans="3:19" x14ac:dyDescent="0.5">
      <c r="C41" s="33">
        <v>26.52</v>
      </c>
      <c r="D41" s="33">
        <f t="shared" si="6"/>
        <v>19.91</v>
      </c>
      <c r="E41" s="33">
        <v>1.47</v>
      </c>
      <c r="F41" s="11">
        <f t="shared" si="2"/>
        <v>1.9910000000000001E-3</v>
      </c>
      <c r="G41" s="11">
        <f t="shared" ref="G41:G63" si="7">F41/$B$6</f>
        <v>1.9910000000000001</v>
      </c>
    </row>
    <row r="42" spans="3:19" x14ac:dyDescent="0.5">
      <c r="C42" s="33">
        <v>27</v>
      </c>
      <c r="D42" s="33">
        <f t="shared" si="6"/>
        <v>20.39</v>
      </c>
      <c r="E42" s="33">
        <v>1.47</v>
      </c>
      <c r="F42" s="11">
        <f t="shared" si="2"/>
        <v>2.0390000000000004E-3</v>
      </c>
      <c r="G42" s="11">
        <f t="shared" si="7"/>
        <v>2.0390000000000006</v>
      </c>
    </row>
    <row r="43" spans="3:19" x14ac:dyDescent="0.5">
      <c r="C43" s="33">
        <v>27.51</v>
      </c>
      <c r="D43" s="33">
        <f t="shared" si="6"/>
        <v>20.900000000000002</v>
      </c>
      <c r="E43" s="33">
        <v>1.47</v>
      </c>
      <c r="F43" s="11">
        <f t="shared" si="2"/>
        <v>2.0900000000000003E-3</v>
      </c>
      <c r="G43" s="11">
        <f t="shared" si="7"/>
        <v>2.0900000000000003</v>
      </c>
    </row>
    <row r="44" spans="3:19" x14ac:dyDescent="0.5">
      <c r="C44" s="33">
        <v>28.05</v>
      </c>
      <c r="D44" s="33">
        <f t="shared" si="6"/>
        <v>21.44</v>
      </c>
      <c r="E44" s="33">
        <v>1.47</v>
      </c>
      <c r="F44" s="11">
        <f t="shared" si="2"/>
        <v>2.1440000000000001E-3</v>
      </c>
      <c r="G44" s="11">
        <f t="shared" si="7"/>
        <v>2.1440000000000001</v>
      </c>
    </row>
    <row r="45" spans="3:19" x14ac:dyDescent="0.5">
      <c r="C45" s="33">
        <v>28.52</v>
      </c>
      <c r="D45" s="33">
        <f t="shared" si="6"/>
        <v>21.91</v>
      </c>
      <c r="E45" s="33">
        <v>1.48</v>
      </c>
      <c r="F45" s="11">
        <f t="shared" si="2"/>
        <v>2.1909999999999998E-3</v>
      </c>
      <c r="G45" s="11">
        <f t="shared" si="7"/>
        <v>2.1909999999999998</v>
      </c>
    </row>
    <row r="46" spans="3:19" x14ac:dyDescent="0.5">
      <c r="C46" s="33">
        <v>29.03</v>
      </c>
      <c r="D46" s="33">
        <f t="shared" si="6"/>
        <v>22.42</v>
      </c>
      <c r="E46" s="33">
        <v>1.48</v>
      </c>
      <c r="F46" s="11">
        <f t="shared" si="2"/>
        <v>2.2420000000000005E-3</v>
      </c>
      <c r="G46" s="11">
        <f t="shared" si="7"/>
        <v>2.2420000000000004</v>
      </c>
    </row>
    <row r="47" spans="3:19" x14ac:dyDescent="0.5">
      <c r="C47" s="33">
        <v>29.5</v>
      </c>
      <c r="D47" s="33">
        <f t="shared" si="6"/>
        <v>22.89</v>
      </c>
      <c r="E47" s="33">
        <v>1.48</v>
      </c>
      <c r="F47" s="11">
        <f t="shared" si="2"/>
        <v>2.2890000000000002E-3</v>
      </c>
      <c r="G47" s="11">
        <f t="shared" si="7"/>
        <v>2.2890000000000001</v>
      </c>
    </row>
    <row r="48" spans="3:19" x14ac:dyDescent="0.5">
      <c r="C48" s="33">
        <v>30.01</v>
      </c>
      <c r="D48" s="33">
        <f t="shared" si="6"/>
        <v>23.400000000000002</v>
      </c>
      <c r="E48" s="33">
        <v>1.49</v>
      </c>
      <c r="F48" s="11">
        <f t="shared" si="2"/>
        <v>2.3400000000000001E-3</v>
      </c>
      <c r="G48" s="11">
        <f t="shared" si="7"/>
        <v>2.34</v>
      </c>
    </row>
    <row r="49" spans="3:7" x14ac:dyDescent="0.5">
      <c r="C49" s="33">
        <v>30.51</v>
      </c>
      <c r="D49" s="33">
        <f t="shared" si="6"/>
        <v>23.900000000000002</v>
      </c>
      <c r="E49" s="33">
        <v>1.49</v>
      </c>
      <c r="F49" s="11">
        <f t="shared" si="2"/>
        <v>2.3900000000000002E-3</v>
      </c>
      <c r="G49" s="11">
        <f t="shared" si="7"/>
        <v>2.39</v>
      </c>
    </row>
    <row r="50" spans="3:7" x14ac:dyDescent="0.5">
      <c r="C50" s="33">
        <v>31.02</v>
      </c>
      <c r="D50" s="33">
        <f t="shared" si="6"/>
        <v>24.41</v>
      </c>
      <c r="E50" s="33">
        <v>1.49</v>
      </c>
      <c r="F50" s="11">
        <f t="shared" si="2"/>
        <v>2.4410000000000005E-3</v>
      </c>
      <c r="G50" s="11">
        <f t="shared" si="7"/>
        <v>2.4410000000000003</v>
      </c>
    </row>
    <row r="51" spans="3:7" x14ac:dyDescent="0.5">
      <c r="C51" s="33">
        <v>31.5</v>
      </c>
      <c r="D51" s="33">
        <f t="shared" si="6"/>
        <v>24.89</v>
      </c>
      <c r="E51" s="33">
        <v>1.5</v>
      </c>
      <c r="F51" s="11">
        <f t="shared" si="2"/>
        <v>2.4889999999999999E-3</v>
      </c>
      <c r="G51" s="11">
        <f t="shared" si="7"/>
        <v>2.4889999999999999</v>
      </c>
    </row>
    <row r="52" spans="3:7" x14ac:dyDescent="0.5">
      <c r="C52" s="33">
        <v>32.01</v>
      </c>
      <c r="D52" s="33">
        <f t="shared" si="6"/>
        <v>25.4</v>
      </c>
      <c r="E52" s="33">
        <v>1.5</v>
      </c>
      <c r="F52" s="11">
        <f t="shared" si="2"/>
        <v>2.5400000000000002E-3</v>
      </c>
      <c r="G52" s="11">
        <f t="shared" si="7"/>
        <v>2.54</v>
      </c>
    </row>
    <row r="53" spans="3:7" x14ac:dyDescent="0.5">
      <c r="C53" s="33">
        <v>32.479999999999997</v>
      </c>
      <c r="D53" s="33">
        <f t="shared" si="6"/>
        <v>25.869999999999997</v>
      </c>
      <c r="E53" s="33">
        <v>1.5</v>
      </c>
      <c r="F53" s="11">
        <f t="shared" si="2"/>
        <v>2.5869999999999999E-3</v>
      </c>
      <c r="G53" s="11">
        <f t="shared" si="7"/>
        <v>2.5869999999999997</v>
      </c>
    </row>
    <row r="54" spans="3:7" x14ac:dyDescent="0.5">
      <c r="C54" s="33">
        <v>33.01</v>
      </c>
      <c r="D54" s="33">
        <f t="shared" si="6"/>
        <v>26.4</v>
      </c>
      <c r="E54" s="33">
        <v>1.5</v>
      </c>
      <c r="F54" s="11">
        <f t="shared" si="2"/>
        <v>2.64E-3</v>
      </c>
      <c r="G54" s="11">
        <f t="shared" si="7"/>
        <v>2.64</v>
      </c>
    </row>
    <row r="55" spans="3:7" x14ac:dyDescent="0.5">
      <c r="C55" s="33">
        <v>33.5</v>
      </c>
      <c r="D55" s="33">
        <f t="shared" si="6"/>
        <v>26.89</v>
      </c>
      <c r="E55" s="33">
        <v>1.51</v>
      </c>
      <c r="F55" s="11">
        <f t="shared" si="2"/>
        <v>2.6890000000000004E-3</v>
      </c>
      <c r="G55" s="11">
        <f t="shared" si="7"/>
        <v>2.6890000000000005</v>
      </c>
    </row>
    <row r="56" spans="3:7" x14ac:dyDescent="0.5">
      <c r="C56" s="33">
        <v>34</v>
      </c>
      <c r="D56" s="33">
        <f t="shared" si="6"/>
        <v>27.39</v>
      </c>
      <c r="E56" s="33">
        <v>1.51</v>
      </c>
      <c r="F56" s="11">
        <f t="shared" si="2"/>
        <v>2.7390000000000001E-3</v>
      </c>
      <c r="G56" s="11">
        <f t="shared" si="7"/>
        <v>2.7389999999999999</v>
      </c>
    </row>
    <row r="57" spans="3:7" x14ac:dyDescent="0.5">
      <c r="C57" s="33">
        <v>34.51</v>
      </c>
      <c r="D57" s="33">
        <f t="shared" si="6"/>
        <v>27.9</v>
      </c>
      <c r="E57" s="33">
        <v>1.51</v>
      </c>
      <c r="F57" s="11">
        <f t="shared" si="2"/>
        <v>2.7899999999999999E-3</v>
      </c>
      <c r="G57" s="11">
        <f t="shared" si="7"/>
        <v>2.79</v>
      </c>
    </row>
    <row r="58" spans="3:7" x14ac:dyDescent="0.5">
      <c r="C58" s="33">
        <v>35.01</v>
      </c>
      <c r="D58" s="33">
        <f t="shared" si="6"/>
        <v>28.4</v>
      </c>
      <c r="E58" s="33">
        <v>1.52</v>
      </c>
      <c r="F58" s="11">
        <f t="shared" si="2"/>
        <v>2.8400000000000001E-3</v>
      </c>
      <c r="G58" s="11">
        <f t="shared" si="7"/>
        <v>2.84</v>
      </c>
    </row>
    <row r="59" spans="3:7" x14ac:dyDescent="0.5">
      <c r="C59" s="33">
        <v>35.51</v>
      </c>
      <c r="D59" s="33">
        <f>C59-$B$1</f>
        <v>28.9</v>
      </c>
      <c r="E59" s="33">
        <v>1.53</v>
      </c>
      <c r="F59" s="11">
        <f t="shared" si="2"/>
        <v>2.8900000000000002E-3</v>
      </c>
      <c r="G59" s="11">
        <f t="shared" si="7"/>
        <v>2.89</v>
      </c>
    </row>
    <row r="60" spans="3:7" x14ac:dyDescent="0.5">
      <c r="C60" s="33">
        <v>36.049999999999997</v>
      </c>
      <c r="D60" s="33">
        <f t="shared" si="6"/>
        <v>29.439999999999998</v>
      </c>
      <c r="E60" s="33">
        <v>1.53</v>
      </c>
      <c r="F60" s="11">
        <f t="shared" si="2"/>
        <v>2.944E-3</v>
      </c>
      <c r="G60" s="11">
        <f t="shared" si="7"/>
        <v>2.944</v>
      </c>
    </row>
    <row r="61" spans="3:7" x14ac:dyDescent="0.5">
      <c r="C61" s="33">
        <v>36.520000000000003</v>
      </c>
      <c r="D61" s="33">
        <f t="shared" si="6"/>
        <v>29.910000000000004</v>
      </c>
      <c r="E61" s="33">
        <v>1.54</v>
      </c>
      <c r="F61" s="11">
        <f t="shared" si="2"/>
        <v>2.9910000000000006E-3</v>
      </c>
      <c r="G61" s="11">
        <f t="shared" si="7"/>
        <v>2.9910000000000005</v>
      </c>
    </row>
    <row r="62" spans="3:7" x14ac:dyDescent="0.5">
      <c r="C62" s="33">
        <v>37.049999999999997</v>
      </c>
      <c r="D62" s="33">
        <f t="shared" si="6"/>
        <v>30.439999999999998</v>
      </c>
      <c r="E62" s="33">
        <v>1.54</v>
      </c>
      <c r="F62" s="11">
        <f t="shared" si="2"/>
        <v>3.0439999999999998E-3</v>
      </c>
      <c r="G62" s="11">
        <f t="shared" si="7"/>
        <v>3.0439999999999996</v>
      </c>
    </row>
    <row r="63" spans="3:7" x14ac:dyDescent="0.5">
      <c r="C63" s="33">
        <v>37.54</v>
      </c>
      <c r="D63" s="33">
        <f t="shared" si="6"/>
        <v>30.93</v>
      </c>
      <c r="E63" s="33">
        <v>1.54</v>
      </c>
      <c r="F63" s="11">
        <f t="shared" si="2"/>
        <v>3.0930000000000003E-3</v>
      </c>
      <c r="G63" s="11">
        <f t="shared" si="7"/>
        <v>3.0930000000000004</v>
      </c>
    </row>
    <row r="64" spans="3:7" x14ac:dyDescent="0.5">
      <c r="C64" s="34">
        <v>38.11</v>
      </c>
      <c r="D64" s="34">
        <f t="shared" ref="D64:D77" si="8">C64-$B$1</f>
        <v>31.5</v>
      </c>
      <c r="E64" s="34">
        <v>1.55</v>
      </c>
      <c r="F64" s="29">
        <f t="shared" ref="F64:F95" si="9">(D64/1000)*($B$3)</f>
        <v>3.15E-3</v>
      </c>
      <c r="G64" s="29">
        <f t="shared" ref="G64:G95" si="10">F64/$B$6</f>
        <v>3.15</v>
      </c>
    </row>
    <row r="65" spans="1:7" x14ac:dyDescent="0.5">
      <c r="C65" s="34">
        <v>38.549999999999997</v>
      </c>
      <c r="D65" s="34">
        <f t="shared" si="8"/>
        <v>31.939999999999998</v>
      </c>
      <c r="E65" s="34">
        <v>1.55</v>
      </c>
      <c r="F65" s="29">
        <f t="shared" si="9"/>
        <v>3.1939999999999998E-3</v>
      </c>
      <c r="G65" s="29">
        <f t="shared" si="10"/>
        <v>3.1939999999999995</v>
      </c>
    </row>
    <row r="66" spans="1:7" x14ac:dyDescent="0.5">
      <c r="C66" s="34">
        <v>39</v>
      </c>
      <c r="D66" s="34">
        <f t="shared" si="8"/>
        <v>32.39</v>
      </c>
      <c r="E66" s="34">
        <v>1.55</v>
      </c>
      <c r="F66" s="29">
        <f t="shared" si="9"/>
        <v>3.2390000000000006E-3</v>
      </c>
      <c r="G66" s="29">
        <f t="shared" si="10"/>
        <v>3.2390000000000003</v>
      </c>
    </row>
    <row r="67" spans="1:7" x14ac:dyDescent="0.5">
      <c r="C67" s="34">
        <v>39.49</v>
      </c>
      <c r="D67" s="34">
        <f t="shared" si="8"/>
        <v>32.880000000000003</v>
      </c>
      <c r="E67" s="34">
        <v>1.56</v>
      </c>
      <c r="F67" s="29">
        <f t="shared" si="9"/>
        <v>3.2880000000000001E-3</v>
      </c>
      <c r="G67" s="29">
        <f t="shared" si="10"/>
        <v>3.2880000000000003</v>
      </c>
    </row>
    <row r="68" spans="1:7" x14ac:dyDescent="0.5">
      <c r="C68" s="34">
        <v>40.01</v>
      </c>
      <c r="D68" s="34">
        <f t="shared" si="8"/>
        <v>33.4</v>
      </c>
      <c r="E68" s="34">
        <v>1.56</v>
      </c>
      <c r="F68" s="29">
        <f t="shared" si="9"/>
        <v>3.3400000000000001E-3</v>
      </c>
      <c r="G68" s="29">
        <f t="shared" si="10"/>
        <v>3.34</v>
      </c>
    </row>
    <row r="69" spans="1:7" x14ac:dyDescent="0.5">
      <c r="C69" s="34">
        <v>40.5</v>
      </c>
      <c r="D69" s="34">
        <f t="shared" si="8"/>
        <v>33.89</v>
      </c>
      <c r="E69" s="34">
        <v>1.56</v>
      </c>
      <c r="F69" s="29">
        <f t="shared" si="9"/>
        <v>3.3890000000000005E-3</v>
      </c>
      <c r="G69" s="29">
        <f t="shared" si="10"/>
        <v>3.3890000000000002</v>
      </c>
    </row>
    <row r="70" spans="1:7" x14ac:dyDescent="0.5">
      <c r="C70" s="34">
        <v>40.99</v>
      </c>
      <c r="D70" s="34">
        <f t="shared" si="8"/>
        <v>34.380000000000003</v>
      </c>
      <c r="E70" s="34">
        <v>1.57</v>
      </c>
      <c r="F70" s="29">
        <f t="shared" si="9"/>
        <v>3.4380000000000001E-3</v>
      </c>
      <c r="G70" s="29">
        <f t="shared" si="10"/>
        <v>3.4380000000000002</v>
      </c>
    </row>
    <row r="71" spans="1:7" x14ac:dyDescent="0.5">
      <c r="C71" s="34">
        <v>41.5</v>
      </c>
      <c r="D71" s="34">
        <f t="shared" si="8"/>
        <v>34.89</v>
      </c>
      <c r="E71" s="34">
        <v>1.57</v>
      </c>
      <c r="F71" s="29">
        <f t="shared" si="9"/>
        <v>3.4889999999999999E-3</v>
      </c>
      <c r="G71" s="29">
        <f t="shared" si="10"/>
        <v>3.4889999999999999</v>
      </c>
    </row>
    <row r="72" spans="1:7" x14ac:dyDescent="0.5">
      <c r="C72" s="34">
        <v>42.08</v>
      </c>
      <c r="D72" s="34">
        <f t="shared" si="8"/>
        <v>35.47</v>
      </c>
      <c r="E72" s="34">
        <v>1.57</v>
      </c>
      <c r="F72" s="29">
        <f t="shared" si="9"/>
        <v>3.5470000000000002E-3</v>
      </c>
      <c r="G72" s="29">
        <f t="shared" si="10"/>
        <v>3.5470000000000002</v>
      </c>
    </row>
    <row r="73" spans="1:7" x14ac:dyDescent="0.5">
      <c r="C73" s="34">
        <v>42.51</v>
      </c>
      <c r="D73" s="34">
        <f t="shared" si="8"/>
        <v>35.9</v>
      </c>
      <c r="E73" s="34">
        <v>1.58</v>
      </c>
      <c r="F73" s="29">
        <f t="shared" si="9"/>
        <v>3.5900000000000003E-3</v>
      </c>
      <c r="G73" s="29">
        <f t="shared" si="10"/>
        <v>3.5900000000000003</v>
      </c>
    </row>
    <row r="74" spans="1:7" x14ac:dyDescent="0.5">
      <c r="C74" s="34">
        <v>42.92</v>
      </c>
      <c r="D74" s="34">
        <f t="shared" si="8"/>
        <v>36.31</v>
      </c>
      <c r="E74" s="34">
        <v>1.58</v>
      </c>
      <c r="F74" s="29">
        <f t="shared" si="9"/>
        <v>3.6310000000000005E-3</v>
      </c>
      <c r="G74" s="29">
        <f t="shared" si="10"/>
        <v>3.6310000000000007</v>
      </c>
    </row>
    <row r="75" spans="1:7" x14ac:dyDescent="0.5">
      <c r="C75" s="34">
        <v>43.5</v>
      </c>
      <c r="D75" s="34">
        <f t="shared" si="8"/>
        <v>36.89</v>
      </c>
      <c r="E75" s="34">
        <v>1.58</v>
      </c>
      <c r="F75" s="29">
        <f t="shared" si="9"/>
        <v>3.689E-3</v>
      </c>
      <c r="G75" s="29">
        <f t="shared" si="10"/>
        <v>3.6890000000000001</v>
      </c>
    </row>
    <row r="76" spans="1:7" x14ac:dyDescent="0.5">
      <c r="C76" s="34">
        <v>43.99</v>
      </c>
      <c r="D76" s="34">
        <f t="shared" si="8"/>
        <v>37.380000000000003</v>
      </c>
      <c r="E76" s="34">
        <v>1.59</v>
      </c>
      <c r="F76" s="29">
        <f t="shared" si="9"/>
        <v>3.7380000000000004E-3</v>
      </c>
      <c r="G76" s="29">
        <f t="shared" si="10"/>
        <v>3.7380000000000004</v>
      </c>
    </row>
    <row r="77" spans="1:7" ht="16.149999999999999" thickBot="1" x14ac:dyDescent="0.55000000000000004">
      <c r="C77" s="34">
        <v>44.58</v>
      </c>
      <c r="D77" s="34">
        <f t="shared" si="8"/>
        <v>37.97</v>
      </c>
      <c r="E77" s="34">
        <v>1.59</v>
      </c>
      <c r="F77" s="29">
        <f t="shared" si="9"/>
        <v>3.797E-3</v>
      </c>
      <c r="G77" s="29">
        <f t="shared" si="10"/>
        <v>3.7970000000000002</v>
      </c>
    </row>
    <row r="78" spans="1:7" ht="16.149999999999999" thickBot="1" x14ac:dyDescent="0.55000000000000004">
      <c r="A78" s="36" t="s">
        <v>54</v>
      </c>
      <c r="B78" s="37">
        <v>14.7</v>
      </c>
      <c r="C78" s="35">
        <v>15</v>
      </c>
      <c r="D78" s="34">
        <f t="shared" ref="D78:D102" si="11">C78-$B$78 +$D$77</f>
        <v>38.269999999999996</v>
      </c>
      <c r="E78" s="34">
        <v>1.59</v>
      </c>
      <c r="F78" s="29">
        <f t="shared" si="9"/>
        <v>3.8270000000000001E-3</v>
      </c>
      <c r="G78" s="29">
        <f t="shared" si="10"/>
        <v>3.827</v>
      </c>
    </row>
    <row r="79" spans="1:7" x14ac:dyDescent="0.5">
      <c r="C79" s="34">
        <v>15.49</v>
      </c>
      <c r="D79" s="34">
        <f t="shared" si="11"/>
        <v>38.76</v>
      </c>
      <c r="E79" s="34">
        <v>1.59</v>
      </c>
      <c r="F79" s="29">
        <f t="shared" si="9"/>
        <v>3.8759999999999997E-3</v>
      </c>
      <c r="G79" s="29">
        <f t="shared" si="10"/>
        <v>3.8759999999999994</v>
      </c>
    </row>
    <row r="80" spans="1:7" x14ac:dyDescent="0.5">
      <c r="C80" s="34">
        <v>16</v>
      </c>
      <c r="D80" s="34">
        <f t="shared" si="11"/>
        <v>39.269999999999996</v>
      </c>
      <c r="E80" s="34">
        <v>1.59</v>
      </c>
      <c r="F80" s="29">
        <f t="shared" si="9"/>
        <v>3.9269999999999999E-3</v>
      </c>
      <c r="G80" s="29">
        <f t="shared" si="10"/>
        <v>3.927</v>
      </c>
    </row>
    <row r="81" spans="3:7" x14ac:dyDescent="0.5">
      <c r="C81" s="34">
        <v>16.489999999999998</v>
      </c>
      <c r="D81" s="34">
        <f t="shared" si="11"/>
        <v>39.76</v>
      </c>
      <c r="E81" s="34">
        <v>1.6</v>
      </c>
      <c r="F81" s="29">
        <f t="shared" si="9"/>
        <v>3.9759999999999995E-3</v>
      </c>
      <c r="G81" s="29">
        <f t="shared" si="10"/>
        <v>3.9759999999999995</v>
      </c>
    </row>
    <row r="82" spans="3:7" x14ac:dyDescent="0.5">
      <c r="C82" s="34">
        <v>17</v>
      </c>
      <c r="D82" s="34">
        <f t="shared" si="11"/>
        <v>40.269999999999996</v>
      </c>
      <c r="E82" s="34">
        <v>1.6</v>
      </c>
      <c r="F82" s="29">
        <f t="shared" si="9"/>
        <v>4.0269999999999993E-3</v>
      </c>
      <c r="G82" s="29">
        <f t="shared" si="10"/>
        <v>4.0269999999999992</v>
      </c>
    </row>
    <row r="83" spans="3:7" x14ac:dyDescent="0.5">
      <c r="C83" s="34">
        <v>17.489999999999998</v>
      </c>
      <c r="D83" s="34">
        <f t="shared" si="11"/>
        <v>40.76</v>
      </c>
      <c r="E83" s="34">
        <v>1.61</v>
      </c>
      <c r="F83" s="29">
        <f t="shared" si="9"/>
        <v>4.0759999999999998E-3</v>
      </c>
      <c r="G83" s="29">
        <f t="shared" si="10"/>
        <v>4.0759999999999996</v>
      </c>
    </row>
    <row r="84" spans="3:7" x14ac:dyDescent="0.5">
      <c r="C84" s="34">
        <v>18.05</v>
      </c>
      <c r="D84" s="34">
        <f t="shared" si="11"/>
        <v>41.32</v>
      </c>
      <c r="E84" s="34">
        <v>1.61</v>
      </c>
      <c r="F84" s="29">
        <f t="shared" si="9"/>
        <v>4.1320000000000003E-3</v>
      </c>
      <c r="G84" s="29">
        <f t="shared" si="10"/>
        <v>4.1320000000000006</v>
      </c>
    </row>
    <row r="85" spans="3:7" x14ac:dyDescent="0.5">
      <c r="C85" s="34">
        <v>18.5</v>
      </c>
      <c r="D85" s="34">
        <f t="shared" si="11"/>
        <v>41.769999999999996</v>
      </c>
      <c r="E85" s="34">
        <v>1.62</v>
      </c>
      <c r="F85" s="29">
        <f t="shared" si="9"/>
        <v>4.1769999999999993E-3</v>
      </c>
      <c r="G85" s="29">
        <f t="shared" si="10"/>
        <v>4.1769999999999996</v>
      </c>
    </row>
    <row r="86" spans="3:7" x14ac:dyDescent="0.5">
      <c r="C86" s="34">
        <v>18.989999999999998</v>
      </c>
      <c r="D86" s="34">
        <f t="shared" si="11"/>
        <v>42.26</v>
      </c>
      <c r="E86" s="34">
        <v>1.62</v>
      </c>
      <c r="F86" s="29">
        <f t="shared" si="9"/>
        <v>4.2259999999999997E-3</v>
      </c>
      <c r="G86" s="29">
        <f t="shared" si="10"/>
        <v>4.226</v>
      </c>
    </row>
    <row r="87" spans="3:7" x14ac:dyDescent="0.5">
      <c r="C87" s="34">
        <v>19.55</v>
      </c>
      <c r="D87" s="34">
        <f t="shared" si="11"/>
        <v>42.82</v>
      </c>
      <c r="E87" s="34">
        <v>1.63</v>
      </c>
      <c r="F87" s="29">
        <f t="shared" si="9"/>
        <v>4.2820000000000002E-3</v>
      </c>
      <c r="G87" s="29">
        <f t="shared" si="10"/>
        <v>4.282</v>
      </c>
    </row>
    <row r="88" spans="3:7" x14ac:dyDescent="0.5">
      <c r="C88" s="34">
        <v>20.02</v>
      </c>
      <c r="D88" s="34">
        <f t="shared" si="11"/>
        <v>43.29</v>
      </c>
      <c r="E88" s="34">
        <v>1.64</v>
      </c>
      <c r="F88" s="29">
        <f t="shared" si="9"/>
        <v>4.3290000000000004E-3</v>
      </c>
      <c r="G88" s="29">
        <f t="shared" si="10"/>
        <v>4.3290000000000006</v>
      </c>
    </row>
    <row r="89" spans="3:7" x14ac:dyDescent="0.5">
      <c r="C89" s="34">
        <v>20.82</v>
      </c>
      <c r="D89" s="34">
        <f t="shared" si="11"/>
        <v>44.09</v>
      </c>
      <c r="E89" s="34">
        <v>1.64</v>
      </c>
      <c r="F89" s="29">
        <f t="shared" si="9"/>
        <v>4.4090000000000006E-3</v>
      </c>
      <c r="G89" s="29">
        <f t="shared" si="10"/>
        <v>4.4090000000000007</v>
      </c>
    </row>
    <row r="90" spans="3:7" x14ac:dyDescent="0.5">
      <c r="C90" s="34">
        <v>36.049999999999997</v>
      </c>
      <c r="D90" s="34">
        <f t="shared" si="11"/>
        <v>59.319999999999993</v>
      </c>
      <c r="E90" s="34">
        <v>1.85</v>
      </c>
      <c r="F90" s="29">
        <f t="shared" si="9"/>
        <v>5.9319999999999998E-3</v>
      </c>
      <c r="G90" s="29">
        <f t="shared" si="10"/>
        <v>5.9319999999999995</v>
      </c>
    </row>
    <row r="91" spans="3:7" x14ac:dyDescent="0.5">
      <c r="C91" s="34">
        <v>36.520000000000003</v>
      </c>
      <c r="D91" s="34">
        <f t="shared" si="11"/>
        <v>59.790000000000006</v>
      </c>
      <c r="E91" s="34">
        <v>1.85</v>
      </c>
      <c r="F91" s="29">
        <f t="shared" si="9"/>
        <v>5.9790000000000008E-3</v>
      </c>
      <c r="G91" s="29">
        <f t="shared" si="10"/>
        <v>5.979000000000001</v>
      </c>
    </row>
    <row r="92" spans="3:7" x14ac:dyDescent="0.5">
      <c r="C92" s="34">
        <v>37.5</v>
      </c>
      <c r="D92" s="34">
        <f t="shared" si="11"/>
        <v>60.769999999999996</v>
      </c>
      <c r="E92" s="34">
        <v>1.87</v>
      </c>
      <c r="F92" s="29">
        <f t="shared" si="9"/>
        <v>6.0769999999999999E-3</v>
      </c>
      <c r="G92" s="29">
        <f t="shared" si="10"/>
        <v>6.077</v>
      </c>
    </row>
    <row r="93" spans="3:7" x14ac:dyDescent="0.5">
      <c r="C93" s="34">
        <v>38.49</v>
      </c>
      <c r="D93" s="34">
        <f t="shared" si="11"/>
        <v>61.760000000000005</v>
      </c>
      <c r="E93" s="34">
        <v>1.88</v>
      </c>
      <c r="F93" s="29">
        <f t="shared" si="9"/>
        <v>6.1760000000000009E-3</v>
      </c>
      <c r="G93" s="29">
        <f t="shared" si="10"/>
        <v>6.176000000000001</v>
      </c>
    </row>
    <row r="94" spans="3:7" x14ac:dyDescent="0.5">
      <c r="C94" s="34">
        <v>39.549999999999997</v>
      </c>
      <c r="D94" s="34">
        <f t="shared" si="11"/>
        <v>62.819999999999993</v>
      </c>
      <c r="E94" s="34">
        <v>1.9</v>
      </c>
      <c r="F94" s="29">
        <f t="shared" si="9"/>
        <v>6.2819999999999994E-3</v>
      </c>
      <c r="G94" s="29">
        <f t="shared" si="10"/>
        <v>6.2819999999999991</v>
      </c>
    </row>
    <row r="95" spans="3:7" x14ac:dyDescent="0.5">
      <c r="C95" s="34">
        <v>40.49</v>
      </c>
      <c r="D95" s="34">
        <f t="shared" si="11"/>
        <v>63.760000000000005</v>
      </c>
      <c r="E95" s="34">
        <v>1.91</v>
      </c>
      <c r="F95" s="29">
        <f t="shared" si="9"/>
        <v>6.3760000000000015E-3</v>
      </c>
      <c r="G95" s="29">
        <f t="shared" si="10"/>
        <v>6.3760000000000012</v>
      </c>
    </row>
    <row r="96" spans="3:7" x14ac:dyDescent="0.5">
      <c r="C96" s="34">
        <v>41.51</v>
      </c>
      <c r="D96" s="34">
        <f t="shared" si="11"/>
        <v>64.78</v>
      </c>
      <c r="E96" s="34">
        <v>1.93</v>
      </c>
      <c r="F96" s="29">
        <f t="shared" ref="F96:F127" si="12">(D96/1000)*($B$3)</f>
        <v>6.4780000000000011E-3</v>
      </c>
      <c r="G96" s="29">
        <f t="shared" ref="G96:G127" si="13">F96/$B$6</f>
        <v>6.4780000000000006</v>
      </c>
    </row>
    <row r="97" spans="1:7" x14ac:dyDescent="0.5">
      <c r="C97" s="34">
        <v>42.48</v>
      </c>
      <c r="D97" s="34">
        <f t="shared" si="11"/>
        <v>65.75</v>
      </c>
      <c r="E97" s="34">
        <v>1.95</v>
      </c>
      <c r="F97" s="29">
        <f t="shared" si="12"/>
        <v>6.575000000000001E-3</v>
      </c>
      <c r="G97" s="29">
        <f t="shared" si="13"/>
        <v>6.5750000000000011</v>
      </c>
    </row>
    <row r="98" spans="1:7" x14ac:dyDescent="0.5">
      <c r="C98" s="34">
        <v>43.5</v>
      </c>
      <c r="D98" s="34">
        <f t="shared" si="11"/>
        <v>66.77</v>
      </c>
      <c r="E98" s="34">
        <v>1.97</v>
      </c>
      <c r="F98" s="29">
        <f t="shared" si="12"/>
        <v>6.6769999999999998E-3</v>
      </c>
      <c r="G98" s="29">
        <f t="shared" si="13"/>
        <v>6.6769999999999996</v>
      </c>
    </row>
    <row r="99" spans="1:7" x14ac:dyDescent="0.5">
      <c r="C99" s="34">
        <v>44.51</v>
      </c>
      <c r="D99" s="34">
        <f t="shared" si="11"/>
        <v>67.78</v>
      </c>
      <c r="E99" s="34">
        <v>1.99</v>
      </c>
      <c r="F99" s="29">
        <f t="shared" si="12"/>
        <v>6.778000000000001E-3</v>
      </c>
      <c r="G99" s="29">
        <f t="shared" si="13"/>
        <v>6.7780000000000005</v>
      </c>
    </row>
    <row r="100" spans="1:7" x14ac:dyDescent="0.5">
      <c r="C100" s="34">
        <v>45.52</v>
      </c>
      <c r="D100" s="34">
        <f t="shared" si="11"/>
        <v>68.790000000000006</v>
      </c>
      <c r="E100" s="34">
        <v>2.0099999999999998</v>
      </c>
      <c r="F100" s="29">
        <f t="shared" si="12"/>
        <v>6.8790000000000006E-3</v>
      </c>
      <c r="G100" s="29">
        <f t="shared" si="13"/>
        <v>6.8790000000000004</v>
      </c>
    </row>
    <row r="101" spans="1:7" ht="16.149999999999999" thickBot="1" x14ac:dyDescent="0.55000000000000004">
      <c r="C101" s="34">
        <v>46.51</v>
      </c>
      <c r="D101" s="34">
        <f t="shared" si="11"/>
        <v>69.78</v>
      </c>
      <c r="E101" s="34">
        <v>2.0299999999999998</v>
      </c>
      <c r="F101" s="29">
        <f t="shared" si="12"/>
        <v>6.9779999999999998E-3</v>
      </c>
      <c r="G101" s="29">
        <f t="shared" si="13"/>
        <v>6.9779999999999998</v>
      </c>
    </row>
    <row r="102" spans="1:7" ht="16.149999999999999" thickBot="1" x14ac:dyDescent="0.55000000000000004">
      <c r="A102" s="36" t="s">
        <v>54</v>
      </c>
      <c r="B102" s="37">
        <v>7.8</v>
      </c>
      <c r="C102" s="34">
        <v>47.48</v>
      </c>
      <c r="D102" s="34">
        <f t="shared" si="11"/>
        <v>70.75</v>
      </c>
      <c r="E102" s="34">
        <v>2.0499999999999998</v>
      </c>
      <c r="F102" s="29">
        <f t="shared" si="12"/>
        <v>7.0749999999999997E-3</v>
      </c>
      <c r="G102" s="29">
        <f t="shared" si="13"/>
        <v>7.0749999999999993</v>
      </c>
    </row>
    <row r="103" spans="1:7" x14ac:dyDescent="0.5">
      <c r="C103" s="34">
        <v>9</v>
      </c>
      <c r="D103" s="34">
        <f>C103-$B$102 +$D$102</f>
        <v>71.95</v>
      </c>
      <c r="E103" s="34">
        <v>2.0699999999999998</v>
      </c>
      <c r="F103" s="29">
        <f t="shared" si="12"/>
        <v>7.195E-3</v>
      </c>
      <c r="G103" s="29">
        <f t="shared" si="13"/>
        <v>7.1950000000000003</v>
      </c>
    </row>
    <row r="104" spans="1:7" x14ac:dyDescent="0.5">
      <c r="C104" s="34">
        <v>10</v>
      </c>
      <c r="D104" s="34">
        <f t="shared" ref="D104:D135" si="14">C104-$B$102 +$D$103</f>
        <v>74.150000000000006</v>
      </c>
      <c r="E104" s="34">
        <v>2.1</v>
      </c>
      <c r="F104" s="29">
        <f t="shared" si="12"/>
        <v>7.4150000000000015E-3</v>
      </c>
      <c r="G104" s="29">
        <f t="shared" si="13"/>
        <v>7.4150000000000009</v>
      </c>
    </row>
    <row r="105" spans="1:7" x14ac:dyDescent="0.5">
      <c r="C105" s="34">
        <v>11.01</v>
      </c>
      <c r="D105" s="34">
        <f t="shared" si="14"/>
        <v>75.16</v>
      </c>
      <c r="E105" s="34">
        <v>2.12</v>
      </c>
      <c r="F105" s="29">
        <f t="shared" si="12"/>
        <v>7.5159999999999992E-3</v>
      </c>
      <c r="G105" s="29">
        <f t="shared" si="13"/>
        <v>7.5159999999999991</v>
      </c>
    </row>
    <row r="106" spans="1:7" x14ac:dyDescent="0.5">
      <c r="C106" s="34">
        <v>11.98</v>
      </c>
      <c r="D106" s="34">
        <f t="shared" si="14"/>
        <v>76.13000000000001</v>
      </c>
      <c r="E106" s="34">
        <v>2.14</v>
      </c>
      <c r="F106" s="29">
        <f t="shared" si="12"/>
        <v>7.6130000000000008E-3</v>
      </c>
      <c r="G106" s="29">
        <f t="shared" si="13"/>
        <v>7.6130000000000004</v>
      </c>
    </row>
    <row r="107" spans="1:7" x14ac:dyDescent="0.5">
      <c r="C107" s="34">
        <v>12.99</v>
      </c>
      <c r="D107" s="34">
        <f t="shared" si="14"/>
        <v>77.14</v>
      </c>
      <c r="E107" s="34">
        <v>2.17</v>
      </c>
      <c r="F107" s="29">
        <f t="shared" si="12"/>
        <v>7.7140000000000004E-3</v>
      </c>
      <c r="G107" s="29">
        <f t="shared" si="13"/>
        <v>7.7140000000000004</v>
      </c>
    </row>
    <row r="108" spans="1:7" x14ac:dyDescent="0.5">
      <c r="C108" s="34">
        <v>14</v>
      </c>
      <c r="D108" s="34">
        <f t="shared" si="14"/>
        <v>78.150000000000006</v>
      </c>
      <c r="E108" s="34">
        <v>2.2000000000000002</v>
      </c>
      <c r="F108" s="29">
        <f t="shared" si="12"/>
        <v>7.8150000000000008E-3</v>
      </c>
      <c r="G108" s="29">
        <f t="shared" si="13"/>
        <v>7.8150000000000004</v>
      </c>
    </row>
    <row r="109" spans="1:7" x14ac:dyDescent="0.5">
      <c r="C109" s="34">
        <v>15.2</v>
      </c>
      <c r="D109" s="34">
        <f t="shared" si="14"/>
        <v>79.350000000000009</v>
      </c>
      <c r="E109" s="34">
        <v>2.2400000000000002</v>
      </c>
      <c r="F109" s="29">
        <f t="shared" si="12"/>
        <v>7.9350000000000011E-3</v>
      </c>
      <c r="G109" s="29">
        <f t="shared" si="13"/>
        <v>7.9350000000000005</v>
      </c>
    </row>
    <row r="110" spans="1:7" x14ac:dyDescent="0.5">
      <c r="C110" s="34">
        <v>16.03</v>
      </c>
      <c r="D110" s="34">
        <f t="shared" si="14"/>
        <v>80.180000000000007</v>
      </c>
      <c r="E110" s="34">
        <v>2.2599999999999998</v>
      </c>
      <c r="F110" s="29">
        <f t="shared" si="12"/>
        <v>8.0180000000000008E-3</v>
      </c>
      <c r="G110" s="29">
        <f t="shared" si="13"/>
        <v>8.0180000000000007</v>
      </c>
    </row>
    <row r="111" spans="1:7" x14ac:dyDescent="0.5">
      <c r="C111" s="34">
        <v>17.010000000000002</v>
      </c>
      <c r="D111" s="34">
        <f t="shared" si="14"/>
        <v>81.16</v>
      </c>
      <c r="E111" s="34">
        <v>2.29</v>
      </c>
      <c r="F111" s="29">
        <f t="shared" si="12"/>
        <v>8.116E-3</v>
      </c>
      <c r="G111" s="29">
        <f t="shared" si="13"/>
        <v>8.1159999999999997</v>
      </c>
    </row>
    <row r="112" spans="1:7" x14ac:dyDescent="0.5">
      <c r="C112" s="34">
        <v>18</v>
      </c>
      <c r="D112" s="34">
        <f t="shared" si="14"/>
        <v>82.15</v>
      </c>
      <c r="E112" s="34">
        <v>2.33</v>
      </c>
      <c r="F112" s="29">
        <f t="shared" si="12"/>
        <v>8.2150000000000001E-3</v>
      </c>
      <c r="G112" s="29">
        <f t="shared" si="13"/>
        <v>8.2149999999999999</v>
      </c>
    </row>
    <row r="113" spans="3:7" x14ac:dyDescent="0.5">
      <c r="C113" s="34">
        <v>19.010000000000002</v>
      </c>
      <c r="D113" s="34">
        <f t="shared" si="14"/>
        <v>83.16</v>
      </c>
      <c r="E113" s="34">
        <v>2.37</v>
      </c>
      <c r="F113" s="29">
        <f t="shared" si="12"/>
        <v>8.3160000000000005E-3</v>
      </c>
      <c r="G113" s="29">
        <f t="shared" si="13"/>
        <v>8.3160000000000007</v>
      </c>
    </row>
    <row r="114" spans="3:7" x14ac:dyDescent="0.5">
      <c r="C114" s="34">
        <v>20</v>
      </c>
      <c r="D114" s="34">
        <f t="shared" si="14"/>
        <v>84.15</v>
      </c>
      <c r="E114" s="34">
        <v>2.41</v>
      </c>
      <c r="F114" s="29">
        <f t="shared" si="12"/>
        <v>8.4150000000000006E-3</v>
      </c>
      <c r="G114" s="29">
        <f t="shared" si="13"/>
        <v>8.4150000000000009</v>
      </c>
    </row>
    <row r="115" spans="3:7" x14ac:dyDescent="0.5">
      <c r="C115" s="34">
        <v>21.02</v>
      </c>
      <c r="D115" s="34">
        <f t="shared" si="14"/>
        <v>85.17</v>
      </c>
      <c r="E115" s="34">
        <v>2.46</v>
      </c>
      <c r="F115" s="29">
        <f t="shared" si="12"/>
        <v>8.5170000000000003E-3</v>
      </c>
      <c r="G115" s="29">
        <f t="shared" si="13"/>
        <v>8.5169999999999995</v>
      </c>
    </row>
    <row r="116" spans="3:7" x14ac:dyDescent="0.5">
      <c r="C116" s="34">
        <v>21.99</v>
      </c>
      <c r="D116" s="34">
        <f t="shared" si="14"/>
        <v>86.14</v>
      </c>
      <c r="E116" s="34">
        <v>2.5</v>
      </c>
      <c r="F116" s="29">
        <f t="shared" si="12"/>
        <v>8.6140000000000001E-3</v>
      </c>
      <c r="G116" s="29">
        <f t="shared" si="13"/>
        <v>8.6140000000000008</v>
      </c>
    </row>
    <row r="117" spans="3:7" x14ac:dyDescent="0.5">
      <c r="C117" s="34">
        <v>23.05</v>
      </c>
      <c r="D117" s="34">
        <f t="shared" si="14"/>
        <v>87.2</v>
      </c>
      <c r="E117" s="34">
        <v>2.56</v>
      </c>
      <c r="F117" s="29">
        <f t="shared" si="12"/>
        <v>8.7200000000000003E-3</v>
      </c>
      <c r="G117" s="29">
        <f t="shared" si="13"/>
        <v>8.7200000000000006</v>
      </c>
    </row>
    <row r="118" spans="3:7" x14ac:dyDescent="0.5">
      <c r="C118" s="34">
        <v>24.11</v>
      </c>
      <c r="D118" s="34">
        <f t="shared" si="14"/>
        <v>88.26</v>
      </c>
      <c r="E118" s="34">
        <v>2.64</v>
      </c>
      <c r="F118" s="29">
        <f t="shared" si="12"/>
        <v>8.8260000000000005E-3</v>
      </c>
      <c r="G118" s="29">
        <f t="shared" si="13"/>
        <v>8.8260000000000005</v>
      </c>
    </row>
    <row r="119" spans="3:7" x14ac:dyDescent="0.5">
      <c r="C119" s="34">
        <v>24.98</v>
      </c>
      <c r="D119" s="34">
        <f t="shared" si="14"/>
        <v>89.13</v>
      </c>
      <c r="E119" s="34">
        <v>2.7</v>
      </c>
      <c r="F119" s="29">
        <f t="shared" si="12"/>
        <v>8.9130000000000008E-3</v>
      </c>
      <c r="G119" s="29">
        <f t="shared" si="13"/>
        <v>8.9130000000000003</v>
      </c>
    </row>
    <row r="120" spans="3:7" x14ac:dyDescent="0.5">
      <c r="C120" s="34">
        <v>25.99</v>
      </c>
      <c r="D120" s="34">
        <f t="shared" si="14"/>
        <v>90.14</v>
      </c>
      <c r="E120" s="34">
        <v>2.79</v>
      </c>
      <c r="F120" s="29">
        <f t="shared" si="12"/>
        <v>9.0139999999999994E-3</v>
      </c>
      <c r="G120" s="29">
        <f t="shared" si="13"/>
        <v>9.0139999999999993</v>
      </c>
    </row>
    <row r="121" spans="3:7" x14ac:dyDescent="0.5">
      <c r="C121" s="34">
        <v>27.08</v>
      </c>
      <c r="D121" s="34">
        <f t="shared" si="14"/>
        <v>91.23</v>
      </c>
      <c r="E121" s="34">
        <v>2.9</v>
      </c>
      <c r="F121" s="29">
        <f t="shared" si="12"/>
        <v>9.1230000000000009E-3</v>
      </c>
      <c r="G121" s="29">
        <f t="shared" si="13"/>
        <v>9.1230000000000011</v>
      </c>
    </row>
    <row r="122" spans="3:7" x14ac:dyDescent="0.5">
      <c r="C122" s="34">
        <v>27.54</v>
      </c>
      <c r="D122" s="34">
        <f t="shared" si="14"/>
        <v>91.69</v>
      </c>
      <c r="E122" s="34">
        <v>2.97</v>
      </c>
      <c r="F122" s="29">
        <f t="shared" si="12"/>
        <v>9.1690000000000001E-3</v>
      </c>
      <c r="G122" s="29">
        <f t="shared" si="13"/>
        <v>9.1690000000000005</v>
      </c>
    </row>
    <row r="123" spans="3:7" x14ac:dyDescent="0.5">
      <c r="C123" s="34">
        <v>28.01</v>
      </c>
      <c r="D123" s="34">
        <f t="shared" si="14"/>
        <v>92.16</v>
      </c>
      <c r="E123" s="34">
        <v>3.05</v>
      </c>
      <c r="F123" s="29">
        <f t="shared" si="12"/>
        <v>9.2160000000000002E-3</v>
      </c>
      <c r="G123" s="29">
        <f t="shared" si="13"/>
        <v>9.2159999999999993</v>
      </c>
    </row>
    <row r="124" spans="3:7" x14ac:dyDescent="0.5">
      <c r="C124" s="34">
        <v>28.5</v>
      </c>
      <c r="D124" s="34">
        <f t="shared" si="14"/>
        <v>92.65</v>
      </c>
      <c r="E124" s="34">
        <v>3.13</v>
      </c>
      <c r="F124" s="29">
        <f t="shared" si="12"/>
        <v>9.2650000000000007E-3</v>
      </c>
      <c r="G124" s="29">
        <f t="shared" si="13"/>
        <v>9.2650000000000006</v>
      </c>
    </row>
    <row r="125" spans="3:7" x14ac:dyDescent="0.5">
      <c r="C125" s="34">
        <v>29.08</v>
      </c>
      <c r="D125" s="34">
        <f t="shared" si="14"/>
        <v>93.23</v>
      </c>
      <c r="E125" s="34">
        <v>3.27</v>
      </c>
      <c r="F125" s="29">
        <f t="shared" si="12"/>
        <v>9.3230000000000014E-3</v>
      </c>
      <c r="G125" s="29">
        <f t="shared" si="13"/>
        <v>9.3230000000000004</v>
      </c>
    </row>
    <row r="126" spans="3:7" x14ac:dyDescent="0.5">
      <c r="C126" s="34">
        <v>29.52</v>
      </c>
      <c r="D126" s="34">
        <f t="shared" si="14"/>
        <v>93.67</v>
      </c>
      <c r="E126" s="34">
        <v>3.42</v>
      </c>
      <c r="F126" s="29">
        <f t="shared" si="12"/>
        <v>9.3670000000000003E-3</v>
      </c>
      <c r="G126" s="29">
        <f t="shared" si="13"/>
        <v>9.3670000000000009</v>
      </c>
    </row>
    <row r="127" spans="3:7" x14ac:dyDescent="0.5">
      <c r="C127" s="34">
        <v>30</v>
      </c>
      <c r="D127" s="34">
        <f t="shared" si="14"/>
        <v>94.15</v>
      </c>
      <c r="E127" s="34">
        <v>3.67</v>
      </c>
      <c r="F127" s="29">
        <f t="shared" si="12"/>
        <v>9.4150000000000015E-3</v>
      </c>
      <c r="G127" s="29">
        <f t="shared" si="13"/>
        <v>9.4150000000000009</v>
      </c>
    </row>
    <row r="128" spans="3:7" x14ac:dyDescent="0.5">
      <c r="C128" s="34">
        <v>30.9</v>
      </c>
      <c r="D128" s="34">
        <f t="shared" si="14"/>
        <v>95.05</v>
      </c>
      <c r="E128" s="34">
        <v>4.09</v>
      </c>
      <c r="F128" s="29">
        <f t="shared" ref="F128:F159" si="15">(D128/1000)*($B$3)</f>
        <v>9.5049999999999996E-3</v>
      </c>
      <c r="G128" s="29">
        <f t="shared" ref="G128:G159" si="16">F128/$B$6</f>
        <v>9.504999999999999</v>
      </c>
    </row>
    <row r="129" spans="3:7" x14ac:dyDescent="0.5">
      <c r="C129" s="34">
        <v>31.58</v>
      </c>
      <c r="D129" s="34">
        <f t="shared" si="14"/>
        <v>95.73</v>
      </c>
      <c r="E129" s="34">
        <v>5.17</v>
      </c>
      <c r="F129" s="29">
        <f t="shared" si="15"/>
        <v>9.5730000000000016E-3</v>
      </c>
      <c r="G129" s="29">
        <f t="shared" si="16"/>
        <v>9.5730000000000022</v>
      </c>
    </row>
    <row r="130" spans="3:7" x14ac:dyDescent="0.5">
      <c r="C130" s="34">
        <v>32.08</v>
      </c>
      <c r="D130" s="34">
        <f t="shared" si="14"/>
        <v>96.23</v>
      </c>
      <c r="E130" s="34">
        <v>5.36</v>
      </c>
      <c r="F130" s="29">
        <f t="shared" si="15"/>
        <v>9.6230000000000013E-3</v>
      </c>
      <c r="G130" s="29">
        <f t="shared" si="16"/>
        <v>9.6230000000000011</v>
      </c>
    </row>
    <row r="131" spans="3:7" x14ac:dyDescent="0.5">
      <c r="C131" s="34">
        <v>33.119999999999997</v>
      </c>
      <c r="D131" s="34">
        <f t="shared" si="14"/>
        <v>97.27</v>
      </c>
      <c r="E131" s="34">
        <v>5.66</v>
      </c>
      <c r="F131" s="29">
        <f t="shared" si="15"/>
        <v>9.7269999999999995E-3</v>
      </c>
      <c r="G131" s="29">
        <f t="shared" si="16"/>
        <v>9.7269999999999985</v>
      </c>
    </row>
    <row r="132" spans="3:7" x14ac:dyDescent="0.5">
      <c r="C132" s="34">
        <v>33.5</v>
      </c>
      <c r="D132" s="34">
        <f t="shared" si="14"/>
        <v>97.65</v>
      </c>
      <c r="E132" s="34">
        <v>5.7</v>
      </c>
      <c r="F132" s="29">
        <f t="shared" si="15"/>
        <v>9.7650000000000011E-3</v>
      </c>
      <c r="G132" s="29">
        <f t="shared" si="16"/>
        <v>9.7650000000000006</v>
      </c>
    </row>
    <row r="133" spans="3:7" x14ac:dyDescent="0.5">
      <c r="C133" s="34">
        <v>34.020000000000003</v>
      </c>
      <c r="D133" s="34">
        <f t="shared" si="14"/>
        <v>98.17</v>
      </c>
      <c r="E133" s="34">
        <v>5.82</v>
      </c>
      <c r="F133" s="29">
        <f t="shared" si="15"/>
        <v>9.8170000000000011E-3</v>
      </c>
      <c r="G133" s="29">
        <f t="shared" si="16"/>
        <v>9.8170000000000002</v>
      </c>
    </row>
    <row r="134" spans="3:7" x14ac:dyDescent="0.5">
      <c r="C134" s="34">
        <v>34.5</v>
      </c>
      <c r="D134" s="34">
        <f t="shared" si="14"/>
        <v>98.65</v>
      </c>
      <c r="E134" s="34">
        <v>5.91</v>
      </c>
      <c r="F134" s="29">
        <f t="shared" si="15"/>
        <v>9.8650000000000005E-3</v>
      </c>
      <c r="G134" s="29">
        <f t="shared" si="16"/>
        <v>9.8650000000000002</v>
      </c>
    </row>
    <row r="135" spans="3:7" x14ac:dyDescent="0.5">
      <c r="C135" s="34">
        <v>35.49</v>
      </c>
      <c r="D135" s="34">
        <f t="shared" si="14"/>
        <v>99.64</v>
      </c>
      <c r="E135" s="34">
        <v>6.07</v>
      </c>
      <c r="F135" s="29">
        <f t="shared" si="15"/>
        <v>9.9640000000000006E-3</v>
      </c>
      <c r="G135" s="29">
        <f t="shared" si="16"/>
        <v>9.9640000000000004</v>
      </c>
    </row>
    <row r="136" spans="3:7" x14ac:dyDescent="0.5">
      <c r="C136" s="34">
        <v>35.99</v>
      </c>
      <c r="D136" s="34">
        <f t="shared" ref="D136:D162" si="17">C136-$B$102 +$D$103</f>
        <v>100.14</v>
      </c>
      <c r="E136" s="34">
        <v>6.16</v>
      </c>
      <c r="F136" s="29">
        <f t="shared" si="15"/>
        <v>1.0014000000000002E-2</v>
      </c>
      <c r="G136" s="29">
        <f t="shared" si="16"/>
        <v>10.014000000000001</v>
      </c>
    </row>
    <row r="137" spans="3:7" x14ac:dyDescent="0.5">
      <c r="C137" s="34">
        <v>36.47</v>
      </c>
      <c r="D137" s="34">
        <f t="shared" si="17"/>
        <v>100.62</v>
      </c>
      <c r="E137" s="34">
        <v>6.24</v>
      </c>
      <c r="F137" s="29">
        <f t="shared" si="15"/>
        <v>1.0062000000000001E-2</v>
      </c>
      <c r="G137" s="29">
        <f t="shared" si="16"/>
        <v>10.062000000000001</v>
      </c>
    </row>
    <row r="138" spans="3:7" x14ac:dyDescent="0.5">
      <c r="C138" s="34">
        <v>36.979999999999997</v>
      </c>
      <c r="D138" s="34">
        <f t="shared" si="17"/>
        <v>101.13</v>
      </c>
      <c r="E138" s="34">
        <v>6.32</v>
      </c>
      <c r="F138" s="29">
        <f t="shared" si="15"/>
        <v>1.0113E-2</v>
      </c>
      <c r="G138" s="29">
        <f t="shared" si="16"/>
        <v>10.113</v>
      </c>
    </row>
    <row r="139" spans="3:7" x14ac:dyDescent="0.5">
      <c r="C139" s="34">
        <v>37.5</v>
      </c>
      <c r="D139" s="34">
        <f t="shared" si="17"/>
        <v>101.65</v>
      </c>
      <c r="E139" s="34">
        <v>6.43</v>
      </c>
      <c r="F139" s="29">
        <f t="shared" si="15"/>
        <v>1.0165E-2</v>
      </c>
      <c r="G139" s="29">
        <f t="shared" si="16"/>
        <v>10.165000000000001</v>
      </c>
    </row>
    <row r="140" spans="3:7" x14ac:dyDescent="0.5">
      <c r="C140" s="34">
        <v>37.950000000000003</v>
      </c>
      <c r="D140" s="34">
        <f t="shared" si="17"/>
        <v>102.10000000000001</v>
      </c>
      <c r="E140" s="34">
        <v>6.53</v>
      </c>
      <c r="F140" s="29">
        <f t="shared" si="15"/>
        <v>1.0210000000000002E-2</v>
      </c>
      <c r="G140" s="29">
        <f t="shared" si="16"/>
        <v>10.210000000000003</v>
      </c>
    </row>
    <row r="141" spans="3:7" x14ac:dyDescent="0.5">
      <c r="C141" s="34">
        <v>38.520000000000003</v>
      </c>
      <c r="D141" s="34">
        <f t="shared" si="17"/>
        <v>102.67</v>
      </c>
      <c r="E141" s="34">
        <v>6.66</v>
      </c>
      <c r="F141" s="29">
        <f t="shared" si="15"/>
        <v>1.0267E-2</v>
      </c>
      <c r="G141" s="29">
        <f t="shared" si="16"/>
        <v>10.266999999999999</v>
      </c>
    </row>
    <row r="142" spans="3:7" x14ac:dyDescent="0.5">
      <c r="C142" s="34">
        <v>39.020000000000003</v>
      </c>
      <c r="D142" s="34">
        <f t="shared" si="17"/>
        <v>103.17</v>
      </c>
      <c r="E142" s="34">
        <v>6.8</v>
      </c>
      <c r="F142" s="29">
        <f t="shared" si="15"/>
        <v>1.0317E-2</v>
      </c>
      <c r="G142" s="29">
        <f t="shared" si="16"/>
        <v>10.317</v>
      </c>
    </row>
    <row r="143" spans="3:7" x14ac:dyDescent="0.5">
      <c r="C143" s="34">
        <v>39.5</v>
      </c>
      <c r="D143" s="34">
        <f t="shared" si="17"/>
        <v>103.65</v>
      </c>
      <c r="E143" s="34">
        <v>6.93</v>
      </c>
      <c r="F143" s="29">
        <f t="shared" si="15"/>
        <v>1.0365000000000001E-2</v>
      </c>
      <c r="G143" s="29">
        <f t="shared" si="16"/>
        <v>10.365</v>
      </c>
    </row>
    <row r="144" spans="3:7" x14ac:dyDescent="0.5">
      <c r="C144" s="34">
        <v>40</v>
      </c>
      <c r="D144" s="34">
        <f t="shared" si="17"/>
        <v>104.15</v>
      </c>
      <c r="E144" s="34">
        <v>7.18</v>
      </c>
      <c r="F144" s="29">
        <f t="shared" si="15"/>
        <v>1.0415000000000001E-2</v>
      </c>
      <c r="G144" s="29">
        <f t="shared" si="16"/>
        <v>10.415000000000001</v>
      </c>
    </row>
    <row r="145" spans="3:7" x14ac:dyDescent="0.5">
      <c r="C145" s="34">
        <v>40.49</v>
      </c>
      <c r="D145" s="34">
        <f t="shared" si="17"/>
        <v>104.64000000000001</v>
      </c>
      <c r="E145" s="34">
        <v>7.51</v>
      </c>
      <c r="F145" s="29">
        <f t="shared" si="15"/>
        <v>1.0464000000000001E-2</v>
      </c>
      <c r="G145" s="29">
        <f t="shared" si="16"/>
        <v>10.464</v>
      </c>
    </row>
    <row r="146" spans="3:7" x14ac:dyDescent="0.5">
      <c r="C146" s="34">
        <v>41.01</v>
      </c>
      <c r="D146" s="34">
        <f t="shared" si="17"/>
        <v>105.16</v>
      </c>
      <c r="E146" s="34">
        <v>7.88</v>
      </c>
      <c r="F146" s="29">
        <f t="shared" si="15"/>
        <v>1.0516000000000001E-2</v>
      </c>
      <c r="G146" s="29">
        <f t="shared" si="16"/>
        <v>10.516</v>
      </c>
    </row>
    <row r="147" spans="3:7" x14ac:dyDescent="0.5">
      <c r="C147" s="34">
        <v>41.54</v>
      </c>
      <c r="D147" s="34">
        <f t="shared" si="17"/>
        <v>105.69</v>
      </c>
      <c r="E147" s="34">
        <v>8.2200000000000006</v>
      </c>
      <c r="F147" s="29">
        <f t="shared" si="15"/>
        <v>1.0569E-2</v>
      </c>
      <c r="G147" s="29">
        <f t="shared" si="16"/>
        <v>10.569000000000001</v>
      </c>
    </row>
    <row r="148" spans="3:7" x14ac:dyDescent="0.5">
      <c r="C148" s="34">
        <v>42</v>
      </c>
      <c r="D148" s="34">
        <f t="shared" si="17"/>
        <v>106.15</v>
      </c>
      <c r="E148" s="34">
        <v>8.57</v>
      </c>
      <c r="F148" s="29">
        <f t="shared" si="15"/>
        <v>1.0615000000000001E-2</v>
      </c>
      <c r="G148" s="29">
        <f t="shared" si="16"/>
        <v>10.615</v>
      </c>
    </row>
    <row r="149" spans="3:7" x14ac:dyDescent="0.5">
      <c r="C149" s="34">
        <v>43.11</v>
      </c>
      <c r="D149" s="34">
        <f t="shared" si="17"/>
        <v>107.26</v>
      </c>
      <c r="E149" s="34">
        <v>8.7200000000000006</v>
      </c>
      <c r="F149" s="29">
        <f t="shared" si="15"/>
        <v>1.0726000000000001E-2</v>
      </c>
      <c r="G149" s="29">
        <f t="shared" si="16"/>
        <v>10.726000000000001</v>
      </c>
    </row>
    <row r="150" spans="3:7" x14ac:dyDescent="0.5">
      <c r="C150" s="34">
        <v>43.49</v>
      </c>
      <c r="D150" s="34">
        <f t="shared" si="17"/>
        <v>107.64000000000001</v>
      </c>
      <c r="E150" s="34">
        <v>8.7799999999999994</v>
      </c>
      <c r="F150" s="29">
        <f t="shared" si="15"/>
        <v>1.0764000000000003E-2</v>
      </c>
      <c r="G150" s="29">
        <f t="shared" si="16"/>
        <v>10.764000000000003</v>
      </c>
    </row>
    <row r="151" spans="3:7" x14ac:dyDescent="0.5">
      <c r="C151" s="34">
        <v>43.99</v>
      </c>
      <c r="D151" s="34">
        <f t="shared" si="17"/>
        <v>108.14000000000001</v>
      </c>
      <c r="E151" s="34">
        <v>8.8699999999999992</v>
      </c>
      <c r="F151" s="29">
        <f t="shared" si="15"/>
        <v>1.0814000000000002E-2</v>
      </c>
      <c r="G151" s="29">
        <f t="shared" si="16"/>
        <v>10.814000000000002</v>
      </c>
    </row>
    <row r="152" spans="3:7" x14ac:dyDescent="0.5">
      <c r="C152" s="34">
        <v>44.51</v>
      </c>
      <c r="D152" s="34">
        <f t="shared" si="17"/>
        <v>108.66</v>
      </c>
      <c r="E152" s="34">
        <v>8.99</v>
      </c>
      <c r="F152" s="29">
        <f t="shared" si="15"/>
        <v>1.0866000000000001E-2</v>
      </c>
      <c r="G152" s="29">
        <f t="shared" si="16"/>
        <v>10.866</v>
      </c>
    </row>
    <row r="153" spans="3:7" x14ac:dyDescent="0.5">
      <c r="C153" s="34">
        <v>45</v>
      </c>
      <c r="D153" s="34">
        <f t="shared" si="17"/>
        <v>109.15</v>
      </c>
      <c r="E153" s="34">
        <v>9.0500000000000007</v>
      </c>
      <c r="F153" s="29">
        <f t="shared" si="15"/>
        <v>1.0915000000000001E-2</v>
      </c>
      <c r="G153" s="29">
        <f t="shared" si="16"/>
        <v>10.915000000000001</v>
      </c>
    </row>
    <row r="154" spans="3:7" x14ac:dyDescent="0.5">
      <c r="C154" s="34">
        <v>45.49</v>
      </c>
      <c r="D154" s="34">
        <f t="shared" si="17"/>
        <v>109.64000000000001</v>
      </c>
      <c r="E154" s="34">
        <v>9.15</v>
      </c>
      <c r="F154" s="29">
        <f t="shared" si="15"/>
        <v>1.0964000000000002E-2</v>
      </c>
      <c r="G154" s="29">
        <f t="shared" si="16"/>
        <v>10.964</v>
      </c>
    </row>
    <row r="155" spans="3:7" x14ac:dyDescent="0.5">
      <c r="C155" s="34">
        <v>45.95</v>
      </c>
      <c r="D155" s="34">
        <f t="shared" si="17"/>
        <v>110.10000000000001</v>
      </c>
      <c r="E155" s="34">
        <v>9.23</v>
      </c>
      <c r="F155" s="29">
        <f t="shared" si="15"/>
        <v>1.1010000000000001E-2</v>
      </c>
      <c r="G155" s="29">
        <f t="shared" si="16"/>
        <v>11.01</v>
      </c>
    </row>
    <row r="156" spans="3:7" x14ac:dyDescent="0.5">
      <c r="C156" s="34">
        <v>46.48</v>
      </c>
      <c r="D156" s="34">
        <f t="shared" si="17"/>
        <v>110.63</v>
      </c>
      <c r="E156" s="34">
        <v>9.31</v>
      </c>
      <c r="F156" s="29">
        <f t="shared" si="15"/>
        <v>1.1063E-2</v>
      </c>
      <c r="G156" s="29">
        <f t="shared" si="16"/>
        <v>11.062999999999999</v>
      </c>
    </row>
    <row r="157" spans="3:7" x14ac:dyDescent="0.5">
      <c r="C157" s="34">
        <v>46.95</v>
      </c>
      <c r="D157" s="34">
        <f t="shared" si="17"/>
        <v>111.10000000000001</v>
      </c>
      <c r="E157" s="34">
        <v>9.39</v>
      </c>
      <c r="F157" s="29">
        <f t="shared" si="15"/>
        <v>1.1110000000000002E-2</v>
      </c>
      <c r="G157" s="29">
        <f t="shared" si="16"/>
        <v>11.110000000000001</v>
      </c>
    </row>
    <row r="158" spans="3:7" x14ac:dyDescent="0.5">
      <c r="C158" s="34">
        <v>47.48</v>
      </c>
      <c r="D158" s="34">
        <f t="shared" si="17"/>
        <v>111.63</v>
      </c>
      <c r="E158" s="34">
        <v>9.48</v>
      </c>
      <c r="F158" s="29">
        <f t="shared" si="15"/>
        <v>1.1162999999999999E-2</v>
      </c>
      <c r="G158" s="29">
        <f t="shared" si="16"/>
        <v>11.162999999999998</v>
      </c>
    </row>
    <row r="159" spans="3:7" x14ac:dyDescent="0.5">
      <c r="C159" s="34">
        <v>47.97</v>
      </c>
      <c r="D159" s="34">
        <f t="shared" si="17"/>
        <v>112.12</v>
      </c>
      <c r="E159" s="34">
        <v>9.59</v>
      </c>
      <c r="F159" s="29">
        <f t="shared" si="15"/>
        <v>1.1212000000000001E-2</v>
      </c>
      <c r="G159" s="29">
        <f t="shared" si="16"/>
        <v>11.212000000000002</v>
      </c>
    </row>
    <row r="160" spans="3:7" x14ac:dyDescent="0.5">
      <c r="C160" s="34">
        <v>48.48</v>
      </c>
      <c r="D160" s="34">
        <f t="shared" si="17"/>
        <v>112.63</v>
      </c>
      <c r="E160" s="34">
        <v>9.69</v>
      </c>
      <c r="F160" s="29">
        <f t="shared" ref="F160:F171" si="18">(D160/1000)*($B$3)</f>
        <v>1.1263E-2</v>
      </c>
      <c r="G160" s="29">
        <f t="shared" ref="G160:G164" si="19">F160/$B$6</f>
        <v>11.263</v>
      </c>
    </row>
    <row r="161" spans="1:7" x14ac:dyDescent="0.5">
      <c r="C161" s="34">
        <v>49.01</v>
      </c>
      <c r="D161" s="34">
        <f t="shared" si="17"/>
        <v>113.16</v>
      </c>
      <c r="E161" s="34">
        <v>9.81</v>
      </c>
      <c r="F161" s="29">
        <f t="shared" si="18"/>
        <v>1.1316E-2</v>
      </c>
      <c r="G161" s="29">
        <f t="shared" si="19"/>
        <v>11.315999999999999</v>
      </c>
    </row>
    <row r="162" spans="1:7" ht="16.149999999999999" thickBot="1" x14ac:dyDescent="0.55000000000000004">
      <c r="C162" s="34">
        <v>49.52</v>
      </c>
      <c r="D162" s="34">
        <f t="shared" si="17"/>
        <v>113.67000000000002</v>
      </c>
      <c r="E162" s="34">
        <v>9.93</v>
      </c>
      <c r="F162" s="29">
        <f t="shared" si="18"/>
        <v>1.1367000000000002E-2</v>
      </c>
      <c r="G162" s="29">
        <f t="shared" si="19"/>
        <v>11.367000000000003</v>
      </c>
    </row>
    <row r="163" spans="1:7" ht="16.149999999999999" thickBot="1" x14ac:dyDescent="0.55000000000000004">
      <c r="A163" s="36" t="s">
        <v>54</v>
      </c>
      <c r="B163" s="37">
        <v>9.25</v>
      </c>
      <c r="C163" s="34">
        <v>9.25</v>
      </c>
      <c r="D163" s="34">
        <f t="shared" ref="D163:D164" si="20">C163-$B$163 +$D$162</f>
        <v>113.67000000000002</v>
      </c>
      <c r="E163" s="34">
        <v>9.92</v>
      </c>
      <c r="F163" s="29">
        <f t="shared" si="18"/>
        <v>1.1367000000000002E-2</v>
      </c>
      <c r="G163" s="29">
        <f t="shared" si="19"/>
        <v>11.367000000000003</v>
      </c>
    </row>
    <row r="164" spans="1:7" x14ac:dyDescent="0.5">
      <c r="C164" s="34">
        <v>9.99</v>
      </c>
      <c r="D164" s="34">
        <f t="shared" si="20"/>
        <v>114.41000000000001</v>
      </c>
      <c r="E164" s="34">
        <v>10.1</v>
      </c>
      <c r="F164" s="29">
        <f t="shared" si="18"/>
        <v>1.1441000000000002E-2</v>
      </c>
      <c r="G164" s="29">
        <f t="shared" si="19"/>
        <v>11.441000000000001</v>
      </c>
    </row>
    <row r="165" spans="1:7" x14ac:dyDescent="0.5">
      <c r="C165" s="34">
        <v>10.49</v>
      </c>
      <c r="D165" s="34">
        <f>C165-$B$163 +$D$162</f>
        <v>114.91000000000001</v>
      </c>
      <c r="E165" s="34">
        <v>10.26</v>
      </c>
      <c r="F165" s="29">
        <f>(D165/1000)*($B$3)</f>
        <v>1.1491000000000001E-2</v>
      </c>
      <c r="G165" s="29">
        <f>F165/$B$6</f>
        <v>11.491000000000001</v>
      </c>
    </row>
    <row r="166" spans="1:7" x14ac:dyDescent="0.5">
      <c r="C166" s="34">
        <v>11</v>
      </c>
      <c r="D166" s="34">
        <f>C166-$B$163 +$D$162</f>
        <v>115.42000000000002</v>
      </c>
      <c r="E166" s="34">
        <v>10.45</v>
      </c>
      <c r="F166" s="29">
        <f t="shared" si="18"/>
        <v>1.1542000000000004E-2</v>
      </c>
      <c r="G166" s="29">
        <f>F166/$B$6</f>
        <v>11.542000000000003</v>
      </c>
    </row>
    <row r="167" spans="1:7" x14ac:dyDescent="0.5">
      <c r="C167" s="34">
        <v>11.48</v>
      </c>
      <c r="D167" s="34">
        <f>C167-$B$163 +$D$162</f>
        <v>115.90000000000002</v>
      </c>
      <c r="E167" s="34">
        <v>10.6</v>
      </c>
      <c r="F167" s="29">
        <f t="shared" si="18"/>
        <v>1.1590000000000003E-2</v>
      </c>
      <c r="G167" s="29">
        <f>F167/$B$6</f>
        <v>11.590000000000003</v>
      </c>
    </row>
    <row r="168" spans="1:7" x14ac:dyDescent="0.5">
      <c r="C168" s="34">
        <v>12.05</v>
      </c>
      <c r="D168" s="34">
        <f>C168-$B$163 +$D$162</f>
        <v>116.47000000000001</v>
      </c>
      <c r="E168" s="34">
        <v>10.74</v>
      </c>
      <c r="F168" s="29">
        <f t="shared" si="18"/>
        <v>1.1647000000000003E-2</v>
      </c>
      <c r="G168" s="29">
        <f>F168/$B$6</f>
        <v>11.647000000000002</v>
      </c>
    </row>
    <row r="169" spans="1:7" x14ac:dyDescent="0.5">
      <c r="C169" s="34">
        <v>12.51</v>
      </c>
      <c r="D169" s="34">
        <f>C169-$B$163 +$D$162</f>
        <v>116.93000000000002</v>
      </c>
      <c r="E169" s="34">
        <v>10.81</v>
      </c>
      <c r="F169" s="29">
        <f t="shared" si="18"/>
        <v>1.1693000000000002E-2</v>
      </c>
      <c r="G169" s="29">
        <f>F169/$B$6</f>
        <v>11.693000000000001</v>
      </c>
    </row>
    <row r="170" spans="1:7" x14ac:dyDescent="0.5">
      <c r="C170" s="34">
        <v>13</v>
      </c>
      <c r="D170" s="34">
        <f>C170-$B$163 +$D$162</f>
        <v>117.42000000000002</v>
      </c>
      <c r="E170" s="34">
        <v>10.91</v>
      </c>
      <c r="F170" s="29">
        <f t="shared" si="18"/>
        <v>1.1742000000000002E-2</v>
      </c>
      <c r="G170" s="29">
        <f>F170/$B$6</f>
        <v>11.742000000000003</v>
      </c>
    </row>
    <row r="171" spans="1:7" x14ac:dyDescent="0.5">
      <c r="C171" s="34">
        <v>13.51</v>
      </c>
      <c r="D171" s="34">
        <f>C171-$B$163 +$D$162</f>
        <v>117.93000000000002</v>
      </c>
      <c r="E171" s="34">
        <v>11</v>
      </c>
      <c r="F171" s="29">
        <f t="shared" si="18"/>
        <v>1.1793000000000003E-2</v>
      </c>
      <c r="G171" s="29">
        <f>F171/$B$6</f>
        <v>11.793000000000003</v>
      </c>
    </row>
  </sheetData>
  <mergeCells count="7">
    <mergeCell ref="R32:S32"/>
    <mergeCell ref="R28:S28"/>
    <mergeCell ref="R3:S3"/>
    <mergeCell ref="R8:S8"/>
    <mergeCell ref="R13:S13"/>
    <mergeCell ref="R18:S18"/>
    <mergeCell ref="R23:S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6AD0-F5E1-9E4A-AE7C-A86D84162250}">
  <sheetPr>
    <tabColor theme="8"/>
  </sheetPr>
  <dimension ref="A1:S171"/>
  <sheetViews>
    <sheetView topLeftCell="G1" zoomScale="85" zoomScaleNormal="85" workbookViewId="0">
      <selection activeCell="R10" sqref="R10"/>
    </sheetView>
  </sheetViews>
  <sheetFormatPr defaultColWidth="11" defaultRowHeight="15.75" x14ac:dyDescent="0.5"/>
  <cols>
    <col min="1" max="1" width="25.3125" customWidth="1"/>
    <col min="2" max="2" width="13.8125" customWidth="1"/>
    <col min="3" max="8" width="21.5" style="10" customWidth="1"/>
  </cols>
  <sheetData>
    <row r="1" spans="1:19" ht="26.65" x14ac:dyDescent="0.5">
      <c r="A1" s="24" t="s">
        <v>23</v>
      </c>
      <c r="B1" s="25">
        <v>6.61</v>
      </c>
      <c r="C1" s="26" t="s">
        <v>24</v>
      </c>
      <c r="D1" s="27" t="s">
        <v>25</v>
      </c>
      <c r="E1" s="27" t="s">
        <v>26</v>
      </c>
      <c r="F1" s="27" t="s">
        <v>27</v>
      </c>
      <c r="G1" s="27" t="s">
        <v>28</v>
      </c>
    </row>
    <row r="2" spans="1:19" x14ac:dyDescent="0.5">
      <c r="A2" s="24" t="s">
        <v>29</v>
      </c>
      <c r="B2" s="28">
        <v>1.27</v>
      </c>
      <c r="C2" s="29">
        <v>6.61</v>
      </c>
      <c r="D2" s="29">
        <f>C2-$B$1</f>
        <v>0</v>
      </c>
      <c r="E2" s="29">
        <v>1.27</v>
      </c>
      <c r="F2" s="29">
        <f>(D2)*($B$3)</f>
        <v>0</v>
      </c>
      <c r="G2" s="29">
        <f t="shared" ref="G2:G33" si="0">F2/$B$6</f>
        <v>0</v>
      </c>
    </row>
    <row r="3" spans="1:19" ht="34.049999999999997" customHeight="1" x14ac:dyDescent="0.5">
      <c r="A3" s="24" t="s">
        <v>30</v>
      </c>
      <c r="B3" s="28">
        <v>0.1</v>
      </c>
      <c r="C3" s="29">
        <v>6.93</v>
      </c>
      <c r="D3" s="29">
        <f t="shared" ref="D3:D8" si="1">C3- $B$1</f>
        <v>0.3199999999999994</v>
      </c>
      <c r="E3" s="29">
        <v>1.28</v>
      </c>
      <c r="F3" s="29">
        <f t="shared" ref="F3:F34" si="2">(D3/1000)*($B$3)</f>
        <v>3.1999999999999938E-5</v>
      </c>
      <c r="G3" s="29">
        <f t="shared" si="0"/>
        <v>3.1999999999999938E-2</v>
      </c>
      <c r="R3" s="41" t="s">
        <v>48</v>
      </c>
      <c r="S3" s="41"/>
    </row>
    <row r="4" spans="1:19" x14ac:dyDescent="0.5">
      <c r="A4" s="24" t="s">
        <v>31</v>
      </c>
      <c r="B4" s="28">
        <v>0.1</v>
      </c>
      <c r="C4" s="29">
        <v>8</v>
      </c>
      <c r="D4" s="29">
        <f t="shared" si="1"/>
        <v>1.3899999999999997</v>
      </c>
      <c r="E4" s="29">
        <v>1.28</v>
      </c>
      <c r="F4" s="29">
        <f t="shared" si="2"/>
        <v>1.3899999999999999E-4</v>
      </c>
      <c r="G4" s="29">
        <f t="shared" si="0"/>
        <v>0.13899999999999998</v>
      </c>
      <c r="R4" s="18" t="s">
        <v>32</v>
      </c>
      <c r="S4" s="18" t="s">
        <v>33</v>
      </c>
    </row>
    <row r="5" spans="1:19" x14ac:dyDescent="0.5">
      <c r="A5" s="24" t="s">
        <v>34</v>
      </c>
      <c r="B5" s="28">
        <v>10</v>
      </c>
      <c r="C5" s="29">
        <v>8.5399999999999991</v>
      </c>
      <c r="D5" s="29">
        <f t="shared" si="1"/>
        <v>1.9299999999999988</v>
      </c>
      <c r="E5" s="29">
        <v>1.29</v>
      </c>
      <c r="F5" s="29">
        <f t="shared" si="2"/>
        <v>1.9299999999999989E-4</v>
      </c>
      <c r="G5" s="29">
        <f t="shared" si="0"/>
        <v>0.19299999999999989</v>
      </c>
      <c r="R5">
        <v>85.17</v>
      </c>
      <c r="S5">
        <v>2.46</v>
      </c>
    </row>
    <row r="6" spans="1:19" x14ac:dyDescent="0.5">
      <c r="A6" s="24" t="s">
        <v>35</v>
      </c>
      <c r="B6" s="28">
        <f>B4*(B5/1000)</f>
        <v>1E-3</v>
      </c>
      <c r="C6" s="29">
        <v>9.01</v>
      </c>
      <c r="D6" s="29">
        <f t="shared" si="1"/>
        <v>2.3999999999999995</v>
      </c>
      <c r="E6" s="29">
        <v>1.29</v>
      </c>
      <c r="F6" s="29">
        <f t="shared" si="2"/>
        <v>2.3999999999999995E-4</v>
      </c>
      <c r="G6" s="29">
        <f t="shared" si="0"/>
        <v>0.23999999999999994</v>
      </c>
    </row>
    <row r="7" spans="1:19" x14ac:dyDescent="0.5">
      <c r="A7" s="30"/>
      <c r="B7" s="30"/>
      <c r="C7" s="29">
        <v>9.49</v>
      </c>
      <c r="D7" s="29">
        <f t="shared" si="1"/>
        <v>2.88</v>
      </c>
      <c r="E7" s="29">
        <v>1.29</v>
      </c>
      <c r="F7" s="29">
        <f t="shared" si="2"/>
        <v>2.8800000000000001E-4</v>
      </c>
      <c r="G7" s="29">
        <f t="shared" si="0"/>
        <v>0.28799999999999998</v>
      </c>
    </row>
    <row r="8" spans="1:19" x14ac:dyDescent="0.5">
      <c r="A8" s="30"/>
      <c r="B8" s="30"/>
      <c r="C8" s="29">
        <v>9.9499999999999993</v>
      </c>
      <c r="D8" s="29">
        <f t="shared" si="1"/>
        <v>3.339999999999999</v>
      </c>
      <c r="E8" s="29">
        <v>1.29</v>
      </c>
      <c r="F8" s="29">
        <f t="shared" si="2"/>
        <v>3.3399999999999988E-4</v>
      </c>
      <c r="G8" s="29">
        <f t="shared" si="0"/>
        <v>0.33399999999999985</v>
      </c>
      <c r="R8" s="40" t="s">
        <v>49</v>
      </c>
      <c r="S8" s="40"/>
    </row>
    <row r="9" spans="1:19" x14ac:dyDescent="0.5">
      <c r="A9" s="30"/>
      <c r="B9" s="30"/>
      <c r="C9" s="29">
        <v>10.6</v>
      </c>
      <c r="D9" s="29">
        <f t="shared" ref="D9:D40" si="3">C9-$B$1</f>
        <v>3.9899999999999993</v>
      </c>
      <c r="E9" s="34">
        <v>1.3</v>
      </c>
      <c r="F9" s="29">
        <f t="shared" si="2"/>
        <v>3.9899999999999999E-4</v>
      </c>
      <c r="G9" s="29">
        <f t="shared" si="0"/>
        <v>0.39899999999999997</v>
      </c>
      <c r="R9" s="18" t="s">
        <v>32</v>
      </c>
      <c r="S9" s="18" t="s">
        <v>33</v>
      </c>
    </row>
    <row r="10" spans="1:19" x14ac:dyDescent="0.5">
      <c r="A10" s="30"/>
      <c r="B10" s="30"/>
      <c r="C10" s="29">
        <v>11.05</v>
      </c>
      <c r="D10" s="29">
        <f t="shared" si="3"/>
        <v>4.4400000000000004</v>
      </c>
      <c r="E10" s="34">
        <v>1.3</v>
      </c>
      <c r="F10" s="29">
        <f t="shared" si="2"/>
        <v>4.4400000000000006E-4</v>
      </c>
      <c r="G10" s="29">
        <f t="shared" si="0"/>
        <v>0.44400000000000006</v>
      </c>
      <c r="R10">
        <v>80.180000000000007</v>
      </c>
      <c r="S10">
        <v>2.2599999999999998</v>
      </c>
    </row>
    <row r="11" spans="1:19" x14ac:dyDescent="0.5">
      <c r="A11" s="30"/>
      <c r="B11" s="30"/>
      <c r="C11" s="29">
        <v>11.45</v>
      </c>
      <c r="D11" s="29">
        <f t="shared" si="3"/>
        <v>4.839999999999999</v>
      </c>
      <c r="E11" s="29">
        <v>1.31</v>
      </c>
      <c r="F11" s="29">
        <f t="shared" si="2"/>
        <v>4.8399999999999989E-4</v>
      </c>
      <c r="G11" s="29">
        <f t="shared" si="0"/>
        <v>0.48399999999999987</v>
      </c>
    </row>
    <row r="12" spans="1:19" x14ac:dyDescent="0.5">
      <c r="A12" s="30"/>
      <c r="B12" s="30"/>
      <c r="C12" s="39">
        <v>12</v>
      </c>
      <c r="D12" s="29">
        <f t="shared" si="3"/>
        <v>5.39</v>
      </c>
      <c r="E12" s="29">
        <v>1.31</v>
      </c>
      <c r="F12" s="29">
        <f t="shared" si="2"/>
        <v>5.3899999999999998E-4</v>
      </c>
      <c r="G12" s="29">
        <f t="shared" si="0"/>
        <v>0.53899999999999992</v>
      </c>
    </row>
    <row r="13" spans="1:19" x14ac:dyDescent="0.5">
      <c r="A13" s="30"/>
      <c r="B13" s="30"/>
      <c r="C13" s="29">
        <v>12.52</v>
      </c>
      <c r="D13" s="29">
        <f t="shared" si="3"/>
        <v>5.9099999999999993</v>
      </c>
      <c r="E13" s="29">
        <v>1.32</v>
      </c>
      <c r="F13" s="29">
        <f t="shared" si="2"/>
        <v>5.9099999999999995E-4</v>
      </c>
      <c r="G13" s="29">
        <f t="shared" si="0"/>
        <v>0.59099999999999997</v>
      </c>
      <c r="R13" s="41" t="s">
        <v>50</v>
      </c>
      <c r="S13" s="41"/>
    </row>
    <row r="14" spans="1:19" x14ac:dyDescent="0.5">
      <c r="A14" s="30"/>
      <c r="B14" s="30"/>
      <c r="C14" s="29">
        <v>13.02</v>
      </c>
      <c r="D14" s="29">
        <f t="shared" si="3"/>
        <v>6.4099999999999993</v>
      </c>
      <c r="E14" s="29">
        <v>1.32</v>
      </c>
      <c r="F14" s="29">
        <f t="shared" si="2"/>
        <v>6.4099999999999997E-4</v>
      </c>
      <c r="G14" s="29">
        <f t="shared" si="0"/>
        <v>0.6409999999999999</v>
      </c>
      <c r="R14" s="18" t="s">
        <v>32</v>
      </c>
      <c r="S14" s="18" t="s">
        <v>33</v>
      </c>
    </row>
    <row r="15" spans="1:19" x14ac:dyDescent="0.5">
      <c r="A15" s="30"/>
      <c r="B15" s="30"/>
      <c r="C15" s="29">
        <v>13.55</v>
      </c>
      <c r="D15" s="29">
        <f t="shared" si="3"/>
        <v>6.94</v>
      </c>
      <c r="E15" s="29">
        <v>1.33</v>
      </c>
      <c r="F15" s="29">
        <f t="shared" si="2"/>
        <v>6.9400000000000006E-4</v>
      </c>
      <c r="G15" s="29">
        <f t="shared" si="0"/>
        <v>0.69400000000000006</v>
      </c>
      <c r="R15">
        <v>95.04</v>
      </c>
      <c r="S15">
        <v>4.09</v>
      </c>
    </row>
    <row r="16" spans="1:19" x14ac:dyDescent="0.5">
      <c r="A16" s="30"/>
      <c r="B16" s="30"/>
      <c r="C16" s="29">
        <v>14.01</v>
      </c>
      <c r="D16" s="29">
        <f t="shared" si="3"/>
        <v>7.3999999999999995</v>
      </c>
      <c r="E16" s="29">
        <v>1.34</v>
      </c>
      <c r="F16" s="29">
        <f t="shared" si="2"/>
        <v>7.3999999999999999E-4</v>
      </c>
      <c r="G16" s="29">
        <f t="shared" si="0"/>
        <v>0.74</v>
      </c>
    </row>
    <row r="17" spans="1:19" x14ac:dyDescent="0.5">
      <c r="A17" s="30"/>
      <c r="B17" s="30"/>
      <c r="C17" s="29">
        <v>14.48</v>
      </c>
      <c r="D17" s="29">
        <f t="shared" si="3"/>
        <v>7.87</v>
      </c>
      <c r="E17" s="29">
        <v>1.34</v>
      </c>
      <c r="F17" s="29">
        <f t="shared" si="2"/>
        <v>7.8700000000000005E-4</v>
      </c>
      <c r="G17" s="29">
        <f t="shared" si="0"/>
        <v>0.78700000000000003</v>
      </c>
    </row>
    <row r="18" spans="1:19" x14ac:dyDescent="0.5">
      <c r="A18" s="30"/>
      <c r="B18" s="30"/>
      <c r="C18" s="29">
        <v>14.95</v>
      </c>
      <c r="D18" s="29">
        <f t="shared" si="3"/>
        <v>8.34</v>
      </c>
      <c r="E18" s="29">
        <v>1.35</v>
      </c>
      <c r="F18" s="29">
        <f t="shared" si="2"/>
        <v>8.3400000000000011E-4</v>
      </c>
      <c r="G18" s="29">
        <f t="shared" si="0"/>
        <v>0.83400000000000007</v>
      </c>
      <c r="R18" s="40" t="s">
        <v>51</v>
      </c>
      <c r="S18" s="40"/>
    </row>
    <row r="19" spans="1:19" x14ac:dyDescent="0.5">
      <c r="A19" s="30"/>
      <c r="B19" s="30"/>
      <c r="C19" s="29">
        <v>15.51</v>
      </c>
      <c r="D19" s="29">
        <f t="shared" si="3"/>
        <v>8.8999999999999986</v>
      </c>
      <c r="E19" s="29">
        <v>1.35</v>
      </c>
      <c r="F19" s="29">
        <f t="shared" si="2"/>
        <v>8.8999999999999984E-4</v>
      </c>
      <c r="G19" s="29">
        <f t="shared" si="0"/>
        <v>0.88999999999999979</v>
      </c>
      <c r="R19" s="18" t="s">
        <v>32</v>
      </c>
      <c r="S19" s="18" t="s">
        <v>33</v>
      </c>
    </row>
    <row r="20" spans="1:19" x14ac:dyDescent="0.5">
      <c r="A20" s="30"/>
      <c r="B20" s="30"/>
      <c r="C20" s="29">
        <v>16.04</v>
      </c>
      <c r="D20" s="29">
        <f t="shared" si="3"/>
        <v>9.43</v>
      </c>
      <c r="E20" s="29">
        <v>1.36</v>
      </c>
      <c r="F20" s="29">
        <f t="shared" si="2"/>
        <v>9.4299999999999994E-4</v>
      </c>
      <c r="G20" s="29">
        <f t="shared" si="0"/>
        <v>0.94299999999999995</v>
      </c>
      <c r="M20" s="38"/>
      <c r="R20">
        <v>90.14</v>
      </c>
      <c r="S20">
        <v>2.79</v>
      </c>
    </row>
    <row r="21" spans="1:19" x14ac:dyDescent="0.5">
      <c r="A21" s="30"/>
      <c r="B21" s="30"/>
      <c r="C21" s="34">
        <v>16.5</v>
      </c>
      <c r="D21" s="29">
        <f t="shared" si="3"/>
        <v>9.89</v>
      </c>
      <c r="E21" s="29">
        <v>1.37</v>
      </c>
      <c r="F21" s="29">
        <f t="shared" si="2"/>
        <v>9.8900000000000008E-4</v>
      </c>
      <c r="G21" s="29">
        <f t="shared" si="0"/>
        <v>0.9890000000000001</v>
      </c>
    </row>
    <row r="22" spans="1:19" x14ac:dyDescent="0.5">
      <c r="C22" s="29">
        <v>16.989999999999998</v>
      </c>
      <c r="D22" s="29">
        <f t="shared" si="3"/>
        <v>10.379999999999999</v>
      </c>
      <c r="E22" s="29">
        <v>1.38</v>
      </c>
      <c r="F22" s="29">
        <f t="shared" si="2"/>
        <v>1.0379999999999999E-3</v>
      </c>
      <c r="G22" s="29">
        <f t="shared" si="0"/>
        <v>1.0379999999999998</v>
      </c>
    </row>
    <row r="23" spans="1:19" x14ac:dyDescent="0.5">
      <c r="C23" s="29">
        <v>17.54</v>
      </c>
      <c r="D23" s="29">
        <f t="shared" si="3"/>
        <v>10.93</v>
      </c>
      <c r="E23" s="29">
        <v>1.38</v>
      </c>
      <c r="F23" s="29">
        <f t="shared" si="2"/>
        <v>1.093E-3</v>
      </c>
      <c r="G23" s="29">
        <f t="shared" si="0"/>
        <v>1.093</v>
      </c>
      <c r="R23" s="41" t="s">
        <v>52</v>
      </c>
      <c r="S23" s="41"/>
    </row>
    <row r="24" spans="1:19" x14ac:dyDescent="0.5">
      <c r="C24" s="29">
        <v>18.010000000000002</v>
      </c>
      <c r="D24" s="29">
        <f t="shared" si="3"/>
        <v>11.400000000000002</v>
      </c>
      <c r="E24" s="29">
        <v>1.39</v>
      </c>
      <c r="F24" s="29">
        <f t="shared" si="2"/>
        <v>1.1400000000000002E-3</v>
      </c>
      <c r="G24" s="29">
        <f t="shared" si="0"/>
        <v>1.1400000000000001</v>
      </c>
      <c r="R24" s="18" t="s">
        <v>32</v>
      </c>
      <c r="S24" s="18" t="s">
        <v>33</v>
      </c>
    </row>
    <row r="25" spans="1:19" x14ac:dyDescent="0.5">
      <c r="C25" s="34">
        <v>18.5</v>
      </c>
      <c r="D25" s="29">
        <f t="shared" si="3"/>
        <v>11.89</v>
      </c>
      <c r="E25" s="34">
        <v>1.4</v>
      </c>
      <c r="F25" s="29">
        <f t="shared" si="2"/>
        <v>1.1890000000000002E-3</v>
      </c>
      <c r="G25" s="29">
        <f t="shared" si="0"/>
        <v>1.1890000000000001</v>
      </c>
      <c r="R25">
        <v>105.16</v>
      </c>
      <c r="S25">
        <v>7.88</v>
      </c>
    </row>
    <row r="26" spans="1:19" x14ac:dyDescent="0.5">
      <c r="C26" s="29">
        <v>18.98</v>
      </c>
      <c r="D26" s="29">
        <f t="shared" si="3"/>
        <v>12.370000000000001</v>
      </c>
      <c r="E26" s="34">
        <v>1.4</v>
      </c>
      <c r="F26" s="29">
        <f t="shared" si="2"/>
        <v>1.2370000000000003E-3</v>
      </c>
      <c r="G26" s="29">
        <f t="shared" si="0"/>
        <v>1.2370000000000003</v>
      </c>
    </row>
    <row r="27" spans="1:19" x14ac:dyDescent="0.5">
      <c r="C27" s="34">
        <v>19.48</v>
      </c>
      <c r="D27" s="34">
        <f t="shared" si="3"/>
        <v>12.870000000000001</v>
      </c>
      <c r="E27" s="34">
        <v>1.41</v>
      </c>
      <c r="F27" s="29">
        <f t="shared" si="2"/>
        <v>1.2870000000000002E-3</v>
      </c>
      <c r="G27" s="29">
        <f t="shared" si="0"/>
        <v>1.2870000000000001</v>
      </c>
    </row>
    <row r="28" spans="1:19" x14ac:dyDescent="0.5">
      <c r="C28" s="34">
        <v>19.97</v>
      </c>
      <c r="D28" s="34">
        <f t="shared" si="3"/>
        <v>13.36</v>
      </c>
      <c r="E28" s="34">
        <v>1.41</v>
      </c>
      <c r="F28" s="29">
        <f t="shared" si="2"/>
        <v>1.3359999999999999E-3</v>
      </c>
      <c r="G28" s="29">
        <f t="shared" si="0"/>
        <v>1.3359999999999999</v>
      </c>
      <c r="R28" s="40" t="s">
        <v>53</v>
      </c>
      <c r="S28" s="40"/>
    </row>
    <row r="29" spans="1:19" x14ac:dyDescent="0.5">
      <c r="C29" s="34">
        <v>25.54</v>
      </c>
      <c r="D29" s="34">
        <f t="shared" si="3"/>
        <v>18.93</v>
      </c>
      <c r="E29" s="34">
        <v>1.42</v>
      </c>
      <c r="F29" s="29">
        <f t="shared" si="2"/>
        <v>1.8929999999999999E-3</v>
      </c>
      <c r="G29" s="29">
        <f t="shared" si="0"/>
        <v>1.8929999999999998</v>
      </c>
      <c r="R29" s="18" t="s">
        <v>32</v>
      </c>
      <c r="S29" s="18" t="s">
        <v>33</v>
      </c>
    </row>
    <row r="30" spans="1:19" x14ac:dyDescent="0.5">
      <c r="C30" s="34">
        <v>21</v>
      </c>
      <c r="D30" s="34">
        <f t="shared" si="3"/>
        <v>14.39</v>
      </c>
      <c r="E30" s="34">
        <v>1.43</v>
      </c>
      <c r="F30" s="29">
        <f t="shared" si="2"/>
        <v>1.4390000000000002E-3</v>
      </c>
      <c r="G30" s="29">
        <f t="shared" si="0"/>
        <v>1.4390000000000001</v>
      </c>
      <c r="R30">
        <v>100.14</v>
      </c>
      <c r="S30">
        <v>6.16</v>
      </c>
    </row>
    <row r="31" spans="1:19" x14ac:dyDescent="0.5">
      <c r="C31" s="34">
        <v>21.5</v>
      </c>
      <c r="D31" s="34">
        <f t="shared" si="3"/>
        <v>14.89</v>
      </c>
      <c r="E31" s="34">
        <v>1.43</v>
      </c>
      <c r="F31" s="29">
        <f t="shared" si="2"/>
        <v>1.4890000000000001E-3</v>
      </c>
      <c r="G31" s="29">
        <f t="shared" si="0"/>
        <v>1.4890000000000001</v>
      </c>
    </row>
    <row r="32" spans="1:19" x14ac:dyDescent="0.5">
      <c r="C32" s="34">
        <v>21.92</v>
      </c>
      <c r="D32" s="34">
        <f t="shared" si="3"/>
        <v>15.310000000000002</v>
      </c>
      <c r="E32" s="34">
        <v>1.43</v>
      </c>
      <c r="F32" s="29">
        <f t="shared" si="2"/>
        <v>1.5310000000000002E-3</v>
      </c>
      <c r="G32" s="29">
        <f t="shared" si="0"/>
        <v>1.5310000000000001</v>
      </c>
    </row>
    <row r="33" spans="3:7" x14ac:dyDescent="0.5">
      <c r="C33" s="34">
        <v>22.55</v>
      </c>
      <c r="D33" s="34">
        <f t="shared" si="3"/>
        <v>15.940000000000001</v>
      </c>
      <c r="E33" s="34">
        <v>1.44</v>
      </c>
      <c r="F33" s="29">
        <f t="shared" si="2"/>
        <v>1.5940000000000004E-3</v>
      </c>
      <c r="G33" s="29">
        <f t="shared" si="0"/>
        <v>1.5940000000000003</v>
      </c>
    </row>
    <row r="34" spans="3:7" x14ac:dyDescent="0.5">
      <c r="C34" s="34">
        <v>22.97</v>
      </c>
      <c r="D34" s="34">
        <f t="shared" si="3"/>
        <v>16.36</v>
      </c>
      <c r="E34" s="34">
        <v>1.44</v>
      </c>
      <c r="F34" s="29">
        <f t="shared" si="2"/>
        <v>1.6360000000000001E-3</v>
      </c>
      <c r="G34" s="29">
        <f t="shared" ref="G34:G65" si="4">F34/$B$6</f>
        <v>1.6360000000000001</v>
      </c>
    </row>
    <row r="35" spans="3:7" x14ac:dyDescent="0.5">
      <c r="C35" s="34">
        <v>23.51</v>
      </c>
      <c r="D35" s="34">
        <f t="shared" si="3"/>
        <v>16.900000000000002</v>
      </c>
      <c r="E35" s="34">
        <v>1.44</v>
      </c>
      <c r="F35" s="29">
        <f t="shared" ref="F35:F66" si="5">(D35/1000)*($B$3)</f>
        <v>1.6900000000000003E-3</v>
      </c>
      <c r="G35" s="29">
        <f t="shared" si="4"/>
        <v>1.6900000000000002</v>
      </c>
    </row>
    <row r="36" spans="3:7" x14ac:dyDescent="0.5">
      <c r="C36" s="34">
        <v>23.99</v>
      </c>
      <c r="D36" s="34">
        <f t="shared" si="3"/>
        <v>17.38</v>
      </c>
      <c r="E36" s="34">
        <v>1.45</v>
      </c>
      <c r="F36" s="29">
        <f t="shared" si="5"/>
        <v>1.738E-3</v>
      </c>
      <c r="G36" s="29">
        <f t="shared" si="4"/>
        <v>1.738</v>
      </c>
    </row>
    <row r="37" spans="3:7" x14ac:dyDescent="0.5">
      <c r="C37" s="34">
        <v>24.49</v>
      </c>
      <c r="D37" s="34">
        <f t="shared" si="3"/>
        <v>17.88</v>
      </c>
      <c r="E37" s="34">
        <v>1.45</v>
      </c>
      <c r="F37" s="29">
        <f t="shared" si="5"/>
        <v>1.7880000000000001E-3</v>
      </c>
      <c r="G37" s="29">
        <f t="shared" si="4"/>
        <v>1.788</v>
      </c>
    </row>
    <row r="38" spans="3:7" x14ac:dyDescent="0.5">
      <c r="C38" s="34">
        <v>25.03</v>
      </c>
      <c r="D38" s="34">
        <f t="shared" si="3"/>
        <v>18.420000000000002</v>
      </c>
      <c r="E38" s="34">
        <v>1.46</v>
      </c>
      <c r="F38" s="29">
        <f t="shared" si="5"/>
        <v>1.8420000000000003E-3</v>
      </c>
      <c r="G38" s="29">
        <f t="shared" si="4"/>
        <v>1.8420000000000003</v>
      </c>
    </row>
    <row r="39" spans="3:7" x14ac:dyDescent="0.5">
      <c r="C39" s="34">
        <v>25.51</v>
      </c>
      <c r="D39" s="34">
        <f t="shared" si="3"/>
        <v>18.900000000000002</v>
      </c>
      <c r="E39" s="34">
        <v>1.46</v>
      </c>
      <c r="F39" s="29">
        <f t="shared" si="5"/>
        <v>1.8900000000000004E-3</v>
      </c>
      <c r="G39" s="29">
        <f t="shared" si="4"/>
        <v>1.8900000000000003</v>
      </c>
    </row>
    <row r="40" spans="3:7" x14ac:dyDescent="0.5">
      <c r="C40" s="34">
        <v>26.05</v>
      </c>
      <c r="D40" s="34">
        <f t="shared" si="3"/>
        <v>19.440000000000001</v>
      </c>
      <c r="E40" s="34">
        <v>1.46</v>
      </c>
      <c r="F40" s="29">
        <f t="shared" si="5"/>
        <v>1.9440000000000004E-3</v>
      </c>
      <c r="G40" s="29">
        <f t="shared" si="4"/>
        <v>1.9440000000000004</v>
      </c>
    </row>
    <row r="41" spans="3:7" x14ac:dyDescent="0.5">
      <c r="C41" s="34">
        <v>26.52</v>
      </c>
      <c r="D41" s="34">
        <f t="shared" ref="D41:D72" si="6">C41-$B$1</f>
        <v>19.91</v>
      </c>
      <c r="E41" s="34">
        <v>1.47</v>
      </c>
      <c r="F41" s="29">
        <f t="shared" si="5"/>
        <v>1.9910000000000001E-3</v>
      </c>
      <c r="G41" s="29">
        <f t="shared" si="4"/>
        <v>1.9910000000000001</v>
      </c>
    </row>
    <row r="42" spans="3:7" x14ac:dyDescent="0.5">
      <c r="C42" s="34">
        <v>27</v>
      </c>
      <c r="D42" s="34">
        <f t="shared" si="6"/>
        <v>20.39</v>
      </c>
      <c r="E42" s="34">
        <v>1.47</v>
      </c>
      <c r="F42" s="29">
        <f t="shared" si="5"/>
        <v>2.0390000000000004E-3</v>
      </c>
      <c r="G42" s="29">
        <f t="shared" si="4"/>
        <v>2.0390000000000006</v>
      </c>
    </row>
    <row r="43" spans="3:7" x14ac:dyDescent="0.5">
      <c r="C43" s="34">
        <v>27.51</v>
      </c>
      <c r="D43" s="34">
        <f t="shared" si="6"/>
        <v>20.900000000000002</v>
      </c>
      <c r="E43" s="34">
        <v>1.47</v>
      </c>
      <c r="F43" s="29">
        <f t="shared" si="5"/>
        <v>2.0900000000000003E-3</v>
      </c>
      <c r="G43" s="29">
        <f t="shared" si="4"/>
        <v>2.0900000000000003</v>
      </c>
    </row>
    <row r="44" spans="3:7" x14ac:dyDescent="0.5">
      <c r="C44" s="34">
        <v>28.05</v>
      </c>
      <c r="D44" s="34">
        <f t="shared" si="6"/>
        <v>21.44</v>
      </c>
      <c r="E44" s="34">
        <v>1.47</v>
      </c>
      <c r="F44" s="29">
        <f t="shared" si="5"/>
        <v>2.1440000000000001E-3</v>
      </c>
      <c r="G44" s="29">
        <f t="shared" si="4"/>
        <v>2.1440000000000001</v>
      </c>
    </row>
    <row r="45" spans="3:7" x14ac:dyDescent="0.5">
      <c r="C45" s="34">
        <v>28.52</v>
      </c>
      <c r="D45" s="34">
        <f t="shared" si="6"/>
        <v>21.91</v>
      </c>
      <c r="E45" s="34">
        <v>1.48</v>
      </c>
      <c r="F45" s="29">
        <f t="shared" si="5"/>
        <v>2.1909999999999998E-3</v>
      </c>
      <c r="G45" s="29">
        <f t="shared" si="4"/>
        <v>2.1909999999999998</v>
      </c>
    </row>
    <row r="46" spans="3:7" x14ac:dyDescent="0.5">
      <c r="C46" s="34">
        <v>29.03</v>
      </c>
      <c r="D46" s="34">
        <f t="shared" si="6"/>
        <v>22.42</v>
      </c>
      <c r="E46" s="34">
        <v>1.48</v>
      </c>
      <c r="F46" s="29">
        <f t="shared" si="5"/>
        <v>2.2420000000000005E-3</v>
      </c>
      <c r="G46" s="29">
        <f t="shared" si="4"/>
        <v>2.2420000000000004</v>
      </c>
    </row>
    <row r="47" spans="3:7" x14ac:dyDescent="0.5">
      <c r="C47" s="34">
        <v>29.5</v>
      </c>
      <c r="D47" s="34">
        <f t="shared" si="6"/>
        <v>22.89</v>
      </c>
      <c r="E47" s="34">
        <v>1.48</v>
      </c>
      <c r="F47" s="29">
        <f t="shared" si="5"/>
        <v>2.2890000000000002E-3</v>
      </c>
      <c r="G47" s="29">
        <f t="shared" si="4"/>
        <v>2.2890000000000001</v>
      </c>
    </row>
    <row r="48" spans="3:7" x14ac:dyDescent="0.5">
      <c r="C48" s="34">
        <v>30.01</v>
      </c>
      <c r="D48" s="34">
        <f t="shared" si="6"/>
        <v>23.400000000000002</v>
      </c>
      <c r="E48" s="34">
        <v>1.49</v>
      </c>
      <c r="F48" s="29">
        <f t="shared" si="5"/>
        <v>2.3400000000000001E-3</v>
      </c>
      <c r="G48" s="29">
        <f t="shared" si="4"/>
        <v>2.34</v>
      </c>
    </row>
    <row r="49" spans="3:7" x14ac:dyDescent="0.5">
      <c r="C49" s="34">
        <v>30.51</v>
      </c>
      <c r="D49" s="34">
        <f t="shared" si="6"/>
        <v>23.900000000000002</v>
      </c>
      <c r="E49" s="34">
        <v>1.49</v>
      </c>
      <c r="F49" s="29">
        <f t="shared" si="5"/>
        <v>2.3900000000000002E-3</v>
      </c>
      <c r="G49" s="29">
        <f t="shared" si="4"/>
        <v>2.39</v>
      </c>
    </row>
    <row r="50" spans="3:7" x14ac:dyDescent="0.5">
      <c r="C50" s="34">
        <v>31.02</v>
      </c>
      <c r="D50" s="34">
        <f t="shared" si="6"/>
        <v>24.41</v>
      </c>
      <c r="E50" s="34">
        <v>1.49</v>
      </c>
      <c r="F50" s="29">
        <f t="shared" si="5"/>
        <v>2.4410000000000005E-3</v>
      </c>
      <c r="G50" s="29">
        <f t="shared" si="4"/>
        <v>2.4410000000000003</v>
      </c>
    </row>
    <row r="51" spans="3:7" x14ac:dyDescent="0.5">
      <c r="C51" s="34">
        <v>31.5</v>
      </c>
      <c r="D51" s="34">
        <f t="shared" si="6"/>
        <v>24.89</v>
      </c>
      <c r="E51" s="34">
        <v>1.5</v>
      </c>
      <c r="F51" s="29">
        <f t="shared" si="5"/>
        <v>2.4889999999999999E-3</v>
      </c>
      <c r="G51" s="29">
        <f t="shared" si="4"/>
        <v>2.4889999999999999</v>
      </c>
    </row>
    <row r="52" spans="3:7" x14ac:dyDescent="0.5">
      <c r="C52" s="34">
        <v>32.01</v>
      </c>
      <c r="D52" s="34">
        <f t="shared" si="6"/>
        <v>25.4</v>
      </c>
      <c r="E52" s="34">
        <v>1.5</v>
      </c>
      <c r="F52" s="29">
        <f t="shared" si="5"/>
        <v>2.5400000000000002E-3</v>
      </c>
      <c r="G52" s="29">
        <f t="shared" si="4"/>
        <v>2.54</v>
      </c>
    </row>
    <row r="53" spans="3:7" x14ac:dyDescent="0.5">
      <c r="C53" s="34">
        <v>32.479999999999997</v>
      </c>
      <c r="D53" s="34">
        <f t="shared" si="6"/>
        <v>25.869999999999997</v>
      </c>
      <c r="E53" s="34">
        <v>1.5</v>
      </c>
      <c r="F53" s="29">
        <f t="shared" si="5"/>
        <v>2.5869999999999999E-3</v>
      </c>
      <c r="G53" s="29">
        <f t="shared" si="4"/>
        <v>2.5869999999999997</v>
      </c>
    </row>
    <row r="54" spans="3:7" x14ac:dyDescent="0.5">
      <c r="C54" s="34">
        <v>33.01</v>
      </c>
      <c r="D54" s="34">
        <f t="shared" si="6"/>
        <v>26.4</v>
      </c>
      <c r="E54" s="34">
        <v>1.5</v>
      </c>
      <c r="F54" s="29">
        <f t="shared" si="5"/>
        <v>2.64E-3</v>
      </c>
      <c r="G54" s="29">
        <f t="shared" si="4"/>
        <v>2.64</v>
      </c>
    </row>
    <row r="55" spans="3:7" x14ac:dyDescent="0.5">
      <c r="C55" s="34">
        <v>33.5</v>
      </c>
      <c r="D55" s="34">
        <f t="shared" si="6"/>
        <v>26.89</v>
      </c>
      <c r="E55" s="34">
        <v>1.51</v>
      </c>
      <c r="F55" s="29">
        <f t="shared" si="5"/>
        <v>2.6890000000000004E-3</v>
      </c>
      <c r="G55" s="29">
        <f t="shared" si="4"/>
        <v>2.6890000000000005</v>
      </c>
    </row>
    <row r="56" spans="3:7" x14ac:dyDescent="0.5">
      <c r="C56" s="34">
        <v>34</v>
      </c>
      <c r="D56" s="34">
        <f t="shared" si="6"/>
        <v>27.39</v>
      </c>
      <c r="E56" s="34">
        <v>1.51</v>
      </c>
      <c r="F56" s="29">
        <f t="shared" si="5"/>
        <v>2.7390000000000001E-3</v>
      </c>
      <c r="G56" s="29">
        <f t="shared" si="4"/>
        <v>2.7389999999999999</v>
      </c>
    </row>
    <row r="57" spans="3:7" x14ac:dyDescent="0.5">
      <c r="C57" s="34">
        <v>34.51</v>
      </c>
      <c r="D57" s="34">
        <f t="shared" si="6"/>
        <v>27.9</v>
      </c>
      <c r="E57" s="34">
        <v>1.51</v>
      </c>
      <c r="F57" s="29">
        <f t="shared" si="5"/>
        <v>2.7899999999999999E-3</v>
      </c>
      <c r="G57" s="29">
        <f t="shared" si="4"/>
        <v>2.79</v>
      </c>
    </row>
    <row r="58" spans="3:7" x14ac:dyDescent="0.5">
      <c r="C58" s="34">
        <v>35.01</v>
      </c>
      <c r="D58" s="34">
        <f t="shared" si="6"/>
        <v>28.4</v>
      </c>
      <c r="E58" s="34">
        <v>1.52</v>
      </c>
      <c r="F58" s="29">
        <f t="shared" si="5"/>
        <v>2.8400000000000001E-3</v>
      </c>
      <c r="G58" s="29">
        <f t="shared" si="4"/>
        <v>2.84</v>
      </c>
    </row>
    <row r="59" spans="3:7" x14ac:dyDescent="0.5">
      <c r="C59" s="34">
        <v>35.51</v>
      </c>
      <c r="D59" s="34">
        <f t="shared" si="6"/>
        <v>28.9</v>
      </c>
      <c r="E59" s="34">
        <v>1.53</v>
      </c>
      <c r="F59" s="29">
        <f t="shared" si="5"/>
        <v>2.8900000000000002E-3</v>
      </c>
      <c r="G59" s="29">
        <f t="shared" si="4"/>
        <v>2.89</v>
      </c>
    </row>
    <row r="60" spans="3:7" x14ac:dyDescent="0.5">
      <c r="C60" s="34">
        <v>36.049999999999997</v>
      </c>
      <c r="D60" s="34">
        <f t="shared" si="6"/>
        <v>29.439999999999998</v>
      </c>
      <c r="E60" s="34">
        <v>1.53</v>
      </c>
      <c r="F60" s="29">
        <f t="shared" si="5"/>
        <v>2.944E-3</v>
      </c>
      <c r="G60" s="29">
        <f t="shared" si="4"/>
        <v>2.944</v>
      </c>
    </row>
    <row r="61" spans="3:7" x14ac:dyDescent="0.5">
      <c r="C61" s="34">
        <v>36.520000000000003</v>
      </c>
      <c r="D61" s="34">
        <f t="shared" si="6"/>
        <v>29.910000000000004</v>
      </c>
      <c r="E61" s="34">
        <v>1.54</v>
      </c>
      <c r="F61" s="29">
        <f t="shared" si="5"/>
        <v>2.9910000000000006E-3</v>
      </c>
      <c r="G61" s="29">
        <f t="shared" si="4"/>
        <v>2.9910000000000005</v>
      </c>
    </row>
    <row r="62" spans="3:7" x14ac:dyDescent="0.5">
      <c r="C62" s="34">
        <v>37.049999999999997</v>
      </c>
      <c r="D62" s="34">
        <f t="shared" si="6"/>
        <v>30.439999999999998</v>
      </c>
      <c r="E62" s="34">
        <v>1.54</v>
      </c>
      <c r="F62" s="29">
        <f t="shared" si="5"/>
        <v>3.0439999999999998E-3</v>
      </c>
      <c r="G62" s="29">
        <f t="shared" si="4"/>
        <v>3.0439999999999996</v>
      </c>
    </row>
    <row r="63" spans="3:7" x14ac:dyDescent="0.5">
      <c r="C63" s="34">
        <v>37.54</v>
      </c>
      <c r="D63" s="34">
        <f t="shared" si="6"/>
        <v>30.93</v>
      </c>
      <c r="E63" s="34">
        <v>1.54</v>
      </c>
      <c r="F63" s="29">
        <f t="shared" si="5"/>
        <v>3.0930000000000003E-3</v>
      </c>
      <c r="G63" s="29">
        <f t="shared" si="4"/>
        <v>3.0930000000000004</v>
      </c>
    </row>
    <row r="64" spans="3:7" x14ac:dyDescent="0.5">
      <c r="C64" s="34">
        <v>38.11</v>
      </c>
      <c r="D64" s="34">
        <f t="shared" si="6"/>
        <v>31.5</v>
      </c>
      <c r="E64" s="34">
        <v>1.55</v>
      </c>
      <c r="F64" s="29">
        <f t="shared" si="5"/>
        <v>3.15E-3</v>
      </c>
      <c r="G64" s="29">
        <f t="shared" si="4"/>
        <v>3.15</v>
      </c>
    </row>
    <row r="65" spans="1:7" x14ac:dyDescent="0.5">
      <c r="C65" s="34">
        <v>38.549999999999997</v>
      </c>
      <c r="D65" s="34">
        <f t="shared" si="6"/>
        <v>31.939999999999998</v>
      </c>
      <c r="E65" s="34">
        <v>1.55</v>
      </c>
      <c r="F65" s="29">
        <f t="shared" si="5"/>
        <v>3.1939999999999998E-3</v>
      </c>
      <c r="G65" s="29">
        <f t="shared" si="4"/>
        <v>3.1939999999999995</v>
      </c>
    </row>
    <row r="66" spans="1:7" x14ac:dyDescent="0.5">
      <c r="C66" s="34">
        <v>39</v>
      </c>
      <c r="D66" s="34">
        <f t="shared" si="6"/>
        <v>32.39</v>
      </c>
      <c r="E66" s="34">
        <v>1.55</v>
      </c>
      <c r="F66" s="29">
        <f t="shared" si="5"/>
        <v>3.2390000000000006E-3</v>
      </c>
      <c r="G66" s="29">
        <f t="shared" ref="G66:G97" si="7">F66/$B$6</f>
        <v>3.2390000000000003</v>
      </c>
    </row>
    <row r="67" spans="1:7" x14ac:dyDescent="0.5">
      <c r="C67" s="34">
        <v>39.49</v>
      </c>
      <c r="D67" s="34">
        <f t="shared" si="6"/>
        <v>32.880000000000003</v>
      </c>
      <c r="E67" s="34">
        <v>1.56</v>
      </c>
      <c r="F67" s="29">
        <f t="shared" ref="F67:F98" si="8">(D67/1000)*($B$3)</f>
        <v>3.2880000000000001E-3</v>
      </c>
      <c r="G67" s="29">
        <f t="shared" si="7"/>
        <v>3.2880000000000003</v>
      </c>
    </row>
    <row r="68" spans="1:7" x14ac:dyDescent="0.5">
      <c r="C68" s="34">
        <v>40.01</v>
      </c>
      <c r="D68" s="34">
        <f t="shared" si="6"/>
        <v>33.4</v>
      </c>
      <c r="E68" s="34">
        <v>1.56</v>
      </c>
      <c r="F68" s="29">
        <f t="shared" si="8"/>
        <v>3.3400000000000001E-3</v>
      </c>
      <c r="G68" s="29">
        <f t="shared" si="7"/>
        <v>3.34</v>
      </c>
    </row>
    <row r="69" spans="1:7" x14ac:dyDescent="0.5">
      <c r="C69" s="34">
        <v>40.5</v>
      </c>
      <c r="D69" s="34">
        <f t="shared" si="6"/>
        <v>33.89</v>
      </c>
      <c r="E69" s="34">
        <v>1.56</v>
      </c>
      <c r="F69" s="29">
        <f t="shared" si="8"/>
        <v>3.3890000000000005E-3</v>
      </c>
      <c r="G69" s="29">
        <f t="shared" si="7"/>
        <v>3.3890000000000002</v>
      </c>
    </row>
    <row r="70" spans="1:7" x14ac:dyDescent="0.5">
      <c r="C70" s="34">
        <v>40.99</v>
      </c>
      <c r="D70" s="34">
        <f t="shared" si="6"/>
        <v>34.380000000000003</v>
      </c>
      <c r="E70" s="34">
        <v>1.57</v>
      </c>
      <c r="F70" s="29">
        <f t="shared" si="8"/>
        <v>3.4380000000000001E-3</v>
      </c>
      <c r="G70" s="29">
        <f t="shared" si="7"/>
        <v>3.4380000000000002</v>
      </c>
    </row>
    <row r="71" spans="1:7" x14ac:dyDescent="0.5">
      <c r="C71" s="34">
        <v>41.5</v>
      </c>
      <c r="D71" s="34">
        <f t="shared" si="6"/>
        <v>34.89</v>
      </c>
      <c r="E71" s="34">
        <v>1.57</v>
      </c>
      <c r="F71" s="29">
        <f t="shared" si="8"/>
        <v>3.4889999999999999E-3</v>
      </c>
      <c r="G71" s="29">
        <f t="shared" si="7"/>
        <v>3.4889999999999999</v>
      </c>
    </row>
    <row r="72" spans="1:7" x14ac:dyDescent="0.5">
      <c r="C72" s="34">
        <v>42.08</v>
      </c>
      <c r="D72" s="34">
        <f t="shared" si="6"/>
        <v>35.47</v>
      </c>
      <c r="E72" s="34">
        <v>1.57</v>
      </c>
      <c r="F72" s="29">
        <f t="shared" si="8"/>
        <v>3.5470000000000002E-3</v>
      </c>
      <c r="G72" s="29">
        <f t="shared" si="7"/>
        <v>3.5470000000000002</v>
      </c>
    </row>
    <row r="73" spans="1:7" x14ac:dyDescent="0.5">
      <c r="C73" s="34">
        <v>42.51</v>
      </c>
      <c r="D73" s="34">
        <f t="shared" ref="D73:D104" si="9">C73-$B$1</f>
        <v>35.9</v>
      </c>
      <c r="E73" s="34">
        <v>1.58</v>
      </c>
      <c r="F73" s="29">
        <f t="shared" si="8"/>
        <v>3.5900000000000003E-3</v>
      </c>
      <c r="G73" s="29">
        <f t="shared" si="7"/>
        <v>3.5900000000000003</v>
      </c>
    </row>
    <row r="74" spans="1:7" x14ac:dyDescent="0.5">
      <c r="C74" s="34">
        <v>42.92</v>
      </c>
      <c r="D74" s="34">
        <f t="shared" si="9"/>
        <v>36.31</v>
      </c>
      <c r="E74" s="34">
        <v>1.58</v>
      </c>
      <c r="F74" s="29">
        <f t="shared" si="8"/>
        <v>3.6310000000000005E-3</v>
      </c>
      <c r="G74" s="29">
        <f t="shared" si="7"/>
        <v>3.6310000000000007</v>
      </c>
    </row>
    <row r="75" spans="1:7" x14ac:dyDescent="0.5">
      <c r="C75" s="34">
        <v>43.5</v>
      </c>
      <c r="D75" s="34">
        <f t="shared" si="9"/>
        <v>36.89</v>
      </c>
      <c r="E75" s="34">
        <v>1.58</v>
      </c>
      <c r="F75" s="29">
        <f t="shared" si="8"/>
        <v>3.689E-3</v>
      </c>
      <c r="G75" s="29">
        <f t="shared" si="7"/>
        <v>3.6890000000000001</v>
      </c>
    </row>
    <row r="76" spans="1:7" x14ac:dyDescent="0.5">
      <c r="C76" s="34">
        <v>43.99</v>
      </c>
      <c r="D76" s="34">
        <f t="shared" si="9"/>
        <v>37.380000000000003</v>
      </c>
      <c r="E76" s="34">
        <v>1.59</v>
      </c>
      <c r="F76" s="29">
        <f t="shared" si="8"/>
        <v>3.7380000000000004E-3</v>
      </c>
      <c r="G76" s="29">
        <f t="shared" si="7"/>
        <v>3.7380000000000004</v>
      </c>
    </row>
    <row r="77" spans="1:7" ht="16.149999999999999" thickBot="1" x14ac:dyDescent="0.55000000000000004">
      <c r="C77" s="34">
        <v>44.58</v>
      </c>
      <c r="D77" s="34">
        <f t="shared" si="9"/>
        <v>37.97</v>
      </c>
      <c r="E77" s="34">
        <v>1.59</v>
      </c>
      <c r="F77" s="29">
        <f t="shared" si="8"/>
        <v>3.797E-3</v>
      </c>
      <c r="G77" s="29">
        <f t="shared" si="7"/>
        <v>3.7970000000000002</v>
      </c>
    </row>
    <row r="78" spans="1:7" ht="16.149999999999999" thickBot="1" x14ac:dyDescent="0.55000000000000004">
      <c r="A78" s="36" t="s">
        <v>54</v>
      </c>
      <c r="B78" s="37">
        <v>14.7</v>
      </c>
      <c r="C78" s="35">
        <v>15</v>
      </c>
      <c r="D78" s="34">
        <f t="shared" ref="D78:D102" si="10">C78-$B$78 +$D$77</f>
        <v>38.269999999999996</v>
      </c>
      <c r="E78" s="34">
        <v>1.59</v>
      </c>
      <c r="F78" s="29">
        <f t="shared" si="8"/>
        <v>3.8270000000000001E-3</v>
      </c>
      <c r="G78" s="29">
        <f t="shared" si="7"/>
        <v>3.827</v>
      </c>
    </row>
    <row r="79" spans="1:7" x14ac:dyDescent="0.5">
      <c r="C79" s="34">
        <v>15.49</v>
      </c>
      <c r="D79" s="34">
        <f t="shared" si="10"/>
        <v>38.76</v>
      </c>
      <c r="E79" s="34">
        <v>1.59</v>
      </c>
      <c r="F79" s="29">
        <f t="shared" si="8"/>
        <v>3.8759999999999997E-3</v>
      </c>
      <c r="G79" s="29">
        <f t="shared" si="7"/>
        <v>3.8759999999999994</v>
      </c>
    </row>
    <row r="80" spans="1:7" x14ac:dyDescent="0.5">
      <c r="C80" s="34">
        <v>16</v>
      </c>
      <c r="D80" s="34">
        <f t="shared" si="10"/>
        <v>39.269999999999996</v>
      </c>
      <c r="E80" s="34">
        <v>1.59</v>
      </c>
      <c r="F80" s="29">
        <f t="shared" si="8"/>
        <v>3.9269999999999999E-3</v>
      </c>
      <c r="G80" s="29">
        <f t="shared" si="7"/>
        <v>3.927</v>
      </c>
    </row>
    <row r="81" spans="3:7" x14ac:dyDescent="0.5">
      <c r="C81" s="34">
        <v>16.489999999999998</v>
      </c>
      <c r="D81" s="34">
        <f t="shared" si="10"/>
        <v>39.76</v>
      </c>
      <c r="E81" s="34">
        <v>1.6</v>
      </c>
      <c r="F81" s="29">
        <f t="shared" si="8"/>
        <v>3.9759999999999995E-3</v>
      </c>
      <c r="G81" s="29">
        <f t="shared" si="7"/>
        <v>3.9759999999999995</v>
      </c>
    </row>
    <row r="82" spans="3:7" x14ac:dyDescent="0.5">
      <c r="C82" s="34">
        <v>17</v>
      </c>
      <c r="D82" s="34">
        <f t="shared" si="10"/>
        <v>40.269999999999996</v>
      </c>
      <c r="E82" s="34">
        <v>1.6</v>
      </c>
      <c r="F82" s="29">
        <f t="shared" si="8"/>
        <v>4.0269999999999993E-3</v>
      </c>
      <c r="G82" s="29">
        <f t="shared" si="7"/>
        <v>4.0269999999999992</v>
      </c>
    </row>
    <row r="83" spans="3:7" x14ac:dyDescent="0.5">
      <c r="C83" s="34">
        <v>17.489999999999998</v>
      </c>
      <c r="D83" s="34">
        <f t="shared" si="10"/>
        <v>40.76</v>
      </c>
      <c r="E83" s="34">
        <v>1.61</v>
      </c>
      <c r="F83" s="29">
        <f t="shared" si="8"/>
        <v>4.0759999999999998E-3</v>
      </c>
      <c r="G83" s="29">
        <f t="shared" si="7"/>
        <v>4.0759999999999996</v>
      </c>
    </row>
    <row r="84" spans="3:7" x14ac:dyDescent="0.5">
      <c r="C84" s="34">
        <v>18.05</v>
      </c>
      <c r="D84" s="34">
        <f t="shared" si="10"/>
        <v>41.32</v>
      </c>
      <c r="E84" s="34">
        <v>1.61</v>
      </c>
      <c r="F84" s="29">
        <f t="shared" si="8"/>
        <v>4.1320000000000003E-3</v>
      </c>
      <c r="G84" s="29">
        <f t="shared" si="7"/>
        <v>4.1320000000000006</v>
      </c>
    </row>
    <row r="85" spans="3:7" x14ac:dyDescent="0.5">
      <c r="C85" s="34">
        <v>18.5</v>
      </c>
      <c r="D85" s="34">
        <f t="shared" si="10"/>
        <v>41.769999999999996</v>
      </c>
      <c r="E85" s="34">
        <v>1.62</v>
      </c>
      <c r="F85" s="29">
        <f t="shared" si="8"/>
        <v>4.1769999999999993E-3</v>
      </c>
      <c r="G85" s="29">
        <f t="shared" si="7"/>
        <v>4.1769999999999996</v>
      </c>
    </row>
    <row r="86" spans="3:7" x14ac:dyDescent="0.5">
      <c r="C86" s="34">
        <v>18.989999999999998</v>
      </c>
      <c r="D86" s="34">
        <f t="shared" si="10"/>
        <v>42.26</v>
      </c>
      <c r="E86" s="34">
        <v>1.62</v>
      </c>
      <c r="F86" s="29">
        <f t="shared" si="8"/>
        <v>4.2259999999999997E-3</v>
      </c>
      <c r="G86" s="29">
        <f t="shared" si="7"/>
        <v>4.226</v>
      </c>
    </row>
    <row r="87" spans="3:7" x14ac:dyDescent="0.5">
      <c r="C87" s="34">
        <v>19.55</v>
      </c>
      <c r="D87" s="34">
        <f t="shared" si="10"/>
        <v>42.82</v>
      </c>
      <c r="E87" s="34">
        <v>1.63</v>
      </c>
      <c r="F87" s="29">
        <f t="shared" si="8"/>
        <v>4.2820000000000002E-3</v>
      </c>
      <c r="G87" s="29">
        <f t="shared" si="7"/>
        <v>4.282</v>
      </c>
    </row>
    <row r="88" spans="3:7" x14ac:dyDescent="0.5">
      <c r="C88" s="34">
        <v>20.02</v>
      </c>
      <c r="D88" s="34">
        <f t="shared" si="10"/>
        <v>43.29</v>
      </c>
      <c r="E88" s="34">
        <v>1.64</v>
      </c>
      <c r="F88" s="29">
        <f t="shared" si="8"/>
        <v>4.3290000000000004E-3</v>
      </c>
      <c r="G88" s="29">
        <f t="shared" si="7"/>
        <v>4.3290000000000006</v>
      </c>
    </row>
    <row r="89" spans="3:7" x14ac:dyDescent="0.5">
      <c r="C89" s="34">
        <v>20.82</v>
      </c>
      <c r="D89" s="34">
        <f t="shared" si="10"/>
        <v>44.09</v>
      </c>
      <c r="E89" s="34">
        <v>1.64</v>
      </c>
      <c r="F89" s="29">
        <f t="shared" si="8"/>
        <v>4.4090000000000006E-3</v>
      </c>
      <c r="G89" s="29">
        <f t="shared" si="7"/>
        <v>4.4090000000000007</v>
      </c>
    </row>
    <row r="90" spans="3:7" x14ac:dyDescent="0.5">
      <c r="C90" s="34">
        <v>36.049999999999997</v>
      </c>
      <c r="D90" s="34">
        <f t="shared" si="10"/>
        <v>59.319999999999993</v>
      </c>
      <c r="E90" s="34">
        <v>1.85</v>
      </c>
      <c r="F90" s="29">
        <f t="shared" si="8"/>
        <v>5.9319999999999998E-3</v>
      </c>
      <c r="G90" s="29">
        <f t="shared" si="7"/>
        <v>5.9319999999999995</v>
      </c>
    </row>
    <row r="91" spans="3:7" x14ac:dyDescent="0.5">
      <c r="C91" s="34">
        <v>36.520000000000003</v>
      </c>
      <c r="D91" s="34">
        <f t="shared" si="10"/>
        <v>59.790000000000006</v>
      </c>
      <c r="E91" s="34">
        <v>1.85</v>
      </c>
      <c r="F91" s="29">
        <f t="shared" si="8"/>
        <v>5.9790000000000008E-3</v>
      </c>
      <c r="G91" s="29">
        <f t="shared" si="7"/>
        <v>5.979000000000001</v>
      </c>
    </row>
    <row r="92" spans="3:7" x14ac:dyDescent="0.5">
      <c r="C92" s="34">
        <v>37.5</v>
      </c>
      <c r="D92" s="34">
        <f t="shared" si="10"/>
        <v>60.769999999999996</v>
      </c>
      <c r="E92" s="34">
        <v>1.87</v>
      </c>
      <c r="F92" s="29">
        <f t="shared" si="8"/>
        <v>6.0769999999999999E-3</v>
      </c>
      <c r="G92" s="29">
        <f t="shared" si="7"/>
        <v>6.077</v>
      </c>
    </row>
    <row r="93" spans="3:7" x14ac:dyDescent="0.5">
      <c r="C93" s="34">
        <v>38.49</v>
      </c>
      <c r="D93" s="34">
        <f t="shared" si="10"/>
        <v>61.760000000000005</v>
      </c>
      <c r="E93" s="34">
        <v>1.88</v>
      </c>
      <c r="F93" s="29">
        <f t="shared" si="8"/>
        <v>6.1760000000000009E-3</v>
      </c>
      <c r="G93" s="29">
        <f t="shared" si="7"/>
        <v>6.176000000000001</v>
      </c>
    </row>
    <row r="94" spans="3:7" x14ac:dyDescent="0.5">
      <c r="C94" s="34">
        <v>39.549999999999997</v>
      </c>
      <c r="D94" s="34">
        <f t="shared" si="10"/>
        <v>62.819999999999993</v>
      </c>
      <c r="E94" s="34">
        <v>1.9</v>
      </c>
      <c r="F94" s="29">
        <f t="shared" si="8"/>
        <v>6.2819999999999994E-3</v>
      </c>
      <c r="G94" s="29">
        <f t="shared" si="7"/>
        <v>6.2819999999999991</v>
      </c>
    </row>
    <row r="95" spans="3:7" x14ac:dyDescent="0.5">
      <c r="C95" s="34">
        <v>40.49</v>
      </c>
      <c r="D95" s="34">
        <f t="shared" si="10"/>
        <v>63.760000000000005</v>
      </c>
      <c r="E95" s="34">
        <v>1.91</v>
      </c>
      <c r="F95" s="29">
        <f t="shared" si="8"/>
        <v>6.3760000000000015E-3</v>
      </c>
      <c r="G95" s="29">
        <f t="shared" si="7"/>
        <v>6.3760000000000012</v>
      </c>
    </row>
    <row r="96" spans="3:7" x14ac:dyDescent="0.5">
      <c r="C96" s="34">
        <v>41.51</v>
      </c>
      <c r="D96" s="34">
        <f t="shared" si="10"/>
        <v>64.78</v>
      </c>
      <c r="E96" s="34">
        <v>1.93</v>
      </c>
      <c r="F96" s="29">
        <f t="shared" si="8"/>
        <v>6.4780000000000011E-3</v>
      </c>
      <c r="G96" s="29">
        <f t="shared" si="7"/>
        <v>6.4780000000000006</v>
      </c>
    </row>
    <row r="97" spans="1:7" x14ac:dyDescent="0.5">
      <c r="C97" s="34">
        <v>42.48</v>
      </c>
      <c r="D97" s="34">
        <f t="shared" si="10"/>
        <v>65.75</v>
      </c>
      <c r="E97" s="34">
        <v>1.95</v>
      </c>
      <c r="F97" s="29">
        <f t="shared" si="8"/>
        <v>6.575000000000001E-3</v>
      </c>
      <c r="G97" s="29">
        <f t="shared" si="7"/>
        <v>6.5750000000000011</v>
      </c>
    </row>
    <row r="98" spans="1:7" x14ac:dyDescent="0.5">
      <c r="C98" s="34">
        <v>43.5</v>
      </c>
      <c r="D98" s="34">
        <f t="shared" si="10"/>
        <v>66.77</v>
      </c>
      <c r="E98" s="34">
        <v>1.97</v>
      </c>
      <c r="F98" s="29">
        <f t="shared" si="8"/>
        <v>6.6769999999999998E-3</v>
      </c>
      <c r="G98" s="29">
        <f t="shared" ref="G98:G129" si="11">F98/$B$6</f>
        <v>6.6769999999999996</v>
      </c>
    </row>
    <row r="99" spans="1:7" x14ac:dyDescent="0.5">
      <c r="C99" s="34">
        <v>44.51</v>
      </c>
      <c r="D99" s="34">
        <f t="shared" si="10"/>
        <v>67.78</v>
      </c>
      <c r="E99" s="34">
        <v>1.99</v>
      </c>
      <c r="F99" s="29">
        <f t="shared" ref="F99:F130" si="12">(D99/1000)*($B$3)</f>
        <v>6.778000000000001E-3</v>
      </c>
      <c r="G99" s="29">
        <f t="shared" si="11"/>
        <v>6.7780000000000005</v>
      </c>
    </row>
    <row r="100" spans="1:7" x14ac:dyDescent="0.5">
      <c r="C100" s="34">
        <v>45.52</v>
      </c>
      <c r="D100" s="34">
        <f t="shared" si="10"/>
        <v>68.790000000000006</v>
      </c>
      <c r="E100" s="34">
        <v>2.0099999999999998</v>
      </c>
      <c r="F100" s="29">
        <f t="shared" si="12"/>
        <v>6.8790000000000006E-3</v>
      </c>
      <c r="G100" s="29">
        <f t="shared" si="11"/>
        <v>6.8790000000000004</v>
      </c>
    </row>
    <row r="101" spans="1:7" ht="16.149999999999999" thickBot="1" x14ac:dyDescent="0.55000000000000004">
      <c r="C101" s="34">
        <v>46.51</v>
      </c>
      <c r="D101" s="34">
        <f t="shared" si="10"/>
        <v>69.78</v>
      </c>
      <c r="E101" s="34">
        <v>2.0299999999999998</v>
      </c>
      <c r="F101" s="29">
        <f t="shared" si="12"/>
        <v>6.9779999999999998E-3</v>
      </c>
      <c r="G101" s="29">
        <f t="shared" si="11"/>
        <v>6.9779999999999998</v>
      </c>
    </row>
    <row r="102" spans="1:7" ht="16.149999999999999" thickBot="1" x14ac:dyDescent="0.55000000000000004">
      <c r="A102" s="36" t="s">
        <v>54</v>
      </c>
      <c r="B102" s="37">
        <v>7.8</v>
      </c>
      <c r="C102" s="34">
        <v>47.48</v>
      </c>
      <c r="D102" s="34">
        <f t="shared" si="10"/>
        <v>70.75</v>
      </c>
      <c r="E102" s="34">
        <v>2.0499999999999998</v>
      </c>
      <c r="F102" s="29">
        <f t="shared" si="12"/>
        <v>7.0749999999999997E-3</v>
      </c>
      <c r="G102" s="29">
        <f t="shared" si="11"/>
        <v>7.0749999999999993</v>
      </c>
    </row>
    <row r="103" spans="1:7" x14ac:dyDescent="0.5">
      <c r="C103" s="34">
        <v>9</v>
      </c>
      <c r="D103" s="34">
        <f>C103-$B$102 +$D$102</f>
        <v>71.95</v>
      </c>
      <c r="E103" s="34">
        <v>2.0699999999999998</v>
      </c>
      <c r="F103" s="29">
        <f t="shared" si="12"/>
        <v>7.195E-3</v>
      </c>
      <c r="G103" s="29">
        <f t="shared" si="11"/>
        <v>7.1950000000000003</v>
      </c>
    </row>
    <row r="104" spans="1:7" x14ac:dyDescent="0.5">
      <c r="C104" s="34">
        <v>10</v>
      </c>
      <c r="D104" s="34">
        <f t="shared" ref="D104:D135" si="13">C104-$B$102 +$D$103</f>
        <v>74.150000000000006</v>
      </c>
      <c r="E104" s="34">
        <v>2.1</v>
      </c>
      <c r="F104" s="29">
        <f t="shared" si="12"/>
        <v>7.4150000000000015E-3</v>
      </c>
      <c r="G104" s="29">
        <f t="shared" si="11"/>
        <v>7.4150000000000009</v>
      </c>
    </row>
    <row r="105" spans="1:7" x14ac:dyDescent="0.5">
      <c r="C105" s="34">
        <v>11.01</v>
      </c>
      <c r="D105" s="34">
        <f t="shared" si="13"/>
        <v>75.16</v>
      </c>
      <c r="E105" s="34">
        <v>2.12</v>
      </c>
      <c r="F105" s="29">
        <f t="shared" si="12"/>
        <v>7.5159999999999992E-3</v>
      </c>
      <c r="G105" s="29">
        <f t="shared" si="11"/>
        <v>7.5159999999999991</v>
      </c>
    </row>
    <row r="106" spans="1:7" x14ac:dyDescent="0.5">
      <c r="C106" s="34">
        <v>11.98</v>
      </c>
      <c r="D106" s="34">
        <f t="shared" si="13"/>
        <v>76.13000000000001</v>
      </c>
      <c r="E106" s="34">
        <v>2.14</v>
      </c>
      <c r="F106" s="29">
        <f t="shared" si="12"/>
        <v>7.6130000000000008E-3</v>
      </c>
      <c r="G106" s="29">
        <f t="shared" si="11"/>
        <v>7.6130000000000004</v>
      </c>
    </row>
    <row r="107" spans="1:7" x14ac:dyDescent="0.5">
      <c r="C107" s="34">
        <v>12.99</v>
      </c>
      <c r="D107" s="34">
        <f t="shared" si="13"/>
        <v>77.14</v>
      </c>
      <c r="E107" s="34">
        <v>2.17</v>
      </c>
      <c r="F107" s="29">
        <f t="shared" si="12"/>
        <v>7.7140000000000004E-3</v>
      </c>
      <c r="G107" s="29">
        <f t="shared" si="11"/>
        <v>7.7140000000000004</v>
      </c>
    </row>
    <row r="108" spans="1:7" x14ac:dyDescent="0.5">
      <c r="C108" s="34">
        <v>14</v>
      </c>
      <c r="D108" s="34">
        <f t="shared" si="13"/>
        <v>78.150000000000006</v>
      </c>
      <c r="E108" s="34">
        <v>2.2000000000000002</v>
      </c>
      <c r="F108" s="29">
        <f t="shared" si="12"/>
        <v>7.8150000000000008E-3</v>
      </c>
      <c r="G108" s="29">
        <f t="shared" si="11"/>
        <v>7.8150000000000004</v>
      </c>
    </row>
    <row r="109" spans="1:7" x14ac:dyDescent="0.5">
      <c r="C109" s="34">
        <v>15.2</v>
      </c>
      <c r="D109" s="34">
        <f t="shared" si="13"/>
        <v>79.350000000000009</v>
      </c>
      <c r="E109" s="34">
        <v>2.2400000000000002</v>
      </c>
      <c r="F109" s="29">
        <f t="shared" si="12"/>
        <v>7.9350000000000011E-3</v>
      </c>
      <c r="G109" s="29">
        <f t="shared" si="11"/>
        <v>7.9350000000000005</v>
      </c>
    </row>
    <row r="110" spans="1:7" x14ac:dyDescent="0.5">
      <c r="C110" s="34">
        <v>16.03</v>
      </c>
      <c r="D110" s="34">
        <f t="shared" si="13"/>
        <v>80.180000000000007</v>
      </c>
      <c r="E110" s="34">
        <v>2.2599999999999998</v>
      </c>
      <c r="F110" s="29">
        <f t="shared" si="12"/>
        <v>8.0180000000000008E-3</v>
      </c>
      <c r="G110" s="29">
        <f t="shared" si="11"/>
        <v>8.0180000000000007</v>
      </c>
    </row>
    <row r="111" spans="1:7" x14ac:dyDescent="0.5">
      <c r="C111" s="34">
        <v>17.010000000000002</v>
      </c>
      <c r="D111" s="34">
        <f t="shared" si="13"/>
        <v>81.16</v>
      </c>
      <c r="E111" s="34">
        <v>2.29</v>
      </c>
      <c r="F111" s="29">
        <f t="shared" si="12"/>
        <v>8.116E-3</v>
      </c>
      <c r="G111" s="29">
        <f t="shared" si="11"/>
        <v>8.1159999999999997</v>
      </c>
    </row>
    <row r="112" spans="1:7" x14ac:dyDescent="0.5">
      <c r="C112" s="34">
        <v>18</v>
      </c>
      <c r="D112" s="34">
        <f t="shared" si="13"/>
        <v>82.15</v>
      </c>
      <c r="E112" s="34">
        <v>2.33</v>
      </c>
      <c r="F112" s="29">
        <f t="shared" si="12"/>
        <v>8.2150000000000001E-3</v>
      </c>
      <c r="G112" s="29">
        <f t="shared" si="11"/>
        <v>8.2149999999999999</v>
      </c>
    </row>
    <row r="113" spans="3:7" x14ac:dyDescent="0.5">
      <c r="C113" s="34">
        <v>19.010000000000002</v>
      </c>
      <c r="D113" s="34">
        <f t="shared" si="13"/>
        <v>83.16</v>
      </c>
      <c r="E113" s="34">
        <v>2.37</v>
      </c>
      <c r="F113" s="29">
        <f t="shared" si="12"/>
        <v>8.3160000000000005E-3</v>
      </c>
      <c r="G113" s="29">
        <f t="shared" si="11"/>
        <v>8.3160000000000007</v>
      </c>
    </row>
    <row r="114" spans="3:7" x14ac:dyDescent="0.5">
      <c r="C114" s="34">
        <v>20</v>
      </c>
      <c r="D114" s="34">
        <f t="shared" si="13"/>
        <v>84.15</v>
      </c>
      <c r="E114" s="34">
        <v>2.41</v>
      </c>
      <c r="F114" s="29">
        <f t="shared" si="12"/>
        <v>8.4150000000000006E-3</v>
      </c>
      <c r="G114" s="29">
        <f t="shared" si="11"/>
        <v>8.4150000000000009</v>
      </c>
    </row>
    <row r="115" spans="3:7" x14ac:dyDescent="0.5">
      <c r="C115" s="34">
        <v>21.02</v>
      </c>
      <c r="D115" s="34">
        <f t="shared" si="13"/>
        <v>85.17</v>
      </c>
      <c r="E115" s="34">
        <v>2.46</v>
      </c>
      <c r="F115" s="29">
        <f t="shared" si="12"/>
        <v>8.5170000000000003E-3</v>
      </c>
      <c r="G115" s="29">
        <f t="shared" si="11"/>
        <v>8.5169999999999995</v>
      </c>
    </row>
    <row r="116" spans="3:7" x14ac:dyDescent="0.5">
      <c r="C116" s="34">
        <v>21.99</v>
      </c>
      <c r="D116" s="34">
        <f t="shared" si="13"/>
        <v>86.14</v>
      </c>
      <c r="E116" s="34">
        <v>2.5</v>
      </c>
      <c r="F116" s="29">
        <f t="shared" si="12"/>
        <v>8.6140000000000001E-3</v>
      </c>
      <c r="G116" s="29">
        <f t="shared" si="11"/>
        <v>8.6140000000000008</v>
      </c>
    </row>
    <row r="117" spans="3:7" x14ac:dyDescent="0.5">
      <c r="C117" s="34">
        <v>23.05</v>
      </c>
      <c r="D117" s="34">
        <f t="shared" si="13"/>
        <v>87.2</v>
      </c>
      <c r="E117" s="34">
        <v>2.56</v>
      </c>
      <c r="F117" s="29">
        <f t="shared" si="12"/>
        <v>8.7200000000000003E-3</v>
      </c>
      <c r="G117" s="29">
        <f t="shared" si="11"/>
        <v>8.7200000000000006</v>
      </c>
    </row>
    <row r="118" spans="3:7" x14ac:dyDescent="0.5">
      <c r="C118" s="34">
        <v>24.11</v>
      </c>
      <c r="D118" s="34">
        <f t="shared" si="13"/>
        <v>88.26</v>
      </c>
      <c r="E118" s="34">
        <v>2.64</v>
      </c>
      <c r="F118" s="29">
        <f t="shared" si="12"/>
        <v>8.8260000000000005E-3</v>
      </c>
      <c r="G118" s="29">
        <f t="shared" si="11"/>
        <v>8.8260000000000005</v>
      </c>
    </row>
    <row r="119" spans="3:7" x14ac:dyDescent="0.5">
      <c r="C119" s="34">
        <v>24.98</v>
      </c>
      <c r="D119" s="34">
        <f t="shared" si="13"/>
        <v>89.13</v>
      </c>
      <c r="E119" s="34">
        <v>2.7</v>
      </c>
      <c r="F119" s="29">
        <f t="shared" si="12"/>
        <v>8.9130000000000008E-3</v>
      </c>
      <c r="G119" s="29">
        <f t="shared" si="11"/>
        <v>8.9130000000000003</v>
      </c>
    </row>
    <row r="120" spans="3:7" x14ac:dyDescent="0.5">
      <c r="C120" s="34">
        <v>25.99</v>
      </c>
      <c r="D120" s="34">
        <f t="shared" si="13"/>
        <v>90.14</v>
      </c>
      <c r="E120" s="34">
        <v>2.79</v>
      </c>
      <c r="F120" s="29">
        <f t="shared" si="12"/>
        <v>9.0139999999999994E-3</v>
      </c>
      <c r="G120" s="29">
        <f t="shared" si="11"/>
        <v>9.0139999999999993</v>
      </c>
    </row>
    <row r="121" spans="3:7" x14ac:dyDescent="0.5">
      <c r="C121" s="34">
        <v>27.08</v>
      </c>
      <c r="D121" s="34">
        <f t="shared" si="13"/>
        <v>91.23</v>
      </c>
      <c r="E121" s="34">
        <v>2.9</v>
      </c>
      <c r="F121" s="29">
        <f t="shared" si="12"/>
        <v>9.1230000000000009E-3</v>
      </c>
      <c r="G121" s="29">
        <f t="shared" si="11"/>
        <v>9.1230000000000011</v>
      </c>
    </row>
    <row r="122" spans="3:7" x14ac:dyDescent="0.5">
      <c r="C122" s="34">
        <v>27.54</v>
      </c>
      <c r="D122" s="34">
        <f t="shared" si="13"/>
        <v>91.69</v>
      </c>
      <c r="E122" s="34">
        <v>2.97</v>
      </c>
      <c r="F122" s="29">
        <f t="shared" si="12"/>
        <v>9.1690000000000001E-3</v>
      </c>
      <c r="G122" s="29">
        <f t="shared" si="11"/>
        <v>9.1690000000000005</v>
      </c>
    </row>
    <row r="123" spans="3:7" x14ac:dyDescent="0.5">
      <c r="C123" s="34">
        <v>28.01</v>
      </c>
      <c r="D123" s="34">
        <f t="shared" si="13"/>
        <v>92.16</v>
      </c>
      <c r="E123" s="34">
        <v>3.05</v>
      </c>
      <c r="F123" s="29">
        <f t="shared" si="12"/>
        <v>9.2160000000000002E-3</v>
      </c>
      <c r="G123" s="29">
        <f t="shared" si="11"/>
        <v>9.2159999999999993</v>
      </c>
    </row>
    <row r="124" spans="3:7" x14ac:dyDescent="0.5">
      <c r="C124" s="34">
        <v>28.5</v>
      </c>
      <c r="D124" s="34">
        <f t="shared" si="13"/>
        <v>92.65</v>
      </c>
      <c r="E124" s="34">
        <v>3.13</v>
      </c>
      <c r="F124" s="29">
        <f t="shared" si="12"/>
        <v>9.2650000000000007E-3</v>
      </c>
      <c r="G124" s="29">
        <f t="shared" si="11"/>
        <v>9.2650000000000006</v>
      </c>
    </row>
    <row r="125" spans="3:7" x14ac:dyDescent="0.5">
      <c r="C125" s="34">
        <v>29.08</v>
      </c>
      <c r="D125" s="34">
        <f t="shared" si="13"/>
        <v>93.23</v>
      </c>
      <c r="E125" s="34">
        <v>3.27</v>
      </c>
      <c r="F125" s="29">
        <f t="shared" si="12"/>
        <v>9.3230000000000014E-3</v>
      </c>
      <c r="G125" s="29">
        <f t="shared" si="11"/>
        <v>9.3230000000000004</v>
      </c>
    </row>
    <row r="126" spans="3:7" x14ac:dyDescent="0.5">
      <c r="C126" s="34">
        <v>29.52</v>
      </c>
      <c r="D126" s="34">
        <f t="shared" si="13"/>
        <v>93.67</v>
      </c>
      <c r="E126" s="34">
        <v>3.42</v>
      </c>
      <c r="F126" s="29">
        <f t="shared" si="12"/>
        <v>9.3670000000000003E-3</v>
      </c>
      <c r="G126" s="29">
        <f t="shared" si="11"/>
        <v>9.3670000000000009</v>
      </c>
    </row>
    <row r="127" spans="3:7" x14ac:dyDescent="0.5">
      <c r="C127" s="34">
        <v>30</v>
      </c>
      <c r="D127" s="34">
        <f t="shared" si="13"/>
        <v>94.15</v>
      </c>
      <c r="E127" s="34">
        <v>3.67</v>
      </c>
      <c r="F127" s="29">
        <f t="shared" si="12"/>
        <v>9.4150000000000015E-3</v>
      </c>
      <c r="G127" s="29">
        <f t="shared" si="11"/>
        <v>9.4150000000000009</v>
      </c>
    </row>
    <row r="128" spans="3:7" x14ac:dyDescent="0.5">
      <c r="C128" s="34">
        <v>30.9</v>
      </c>
      <c r="D128" s="34">
        <f t="shared" si="13"/>
        <v>95.05</v>
      </c>
      <c r="E128" s="34">
        <v>4.09</v>
      </c>
      <c r="F128" s="29">
        <f t="shared" si="12"/>
        <v>9.5049999999999996E-3</v>
      </c>
      <c r="G128" s="29">
        <f t="shared" si="11"/>
        <v>9.504999999999999</v>
      </c>
    </row>
    <row r="129" spans="3:7" x14ac:dyDescent="0.5">
      <c r="C129" s="34">
        <v>31.58</v>
      </c>
      <c r="D129" s="34">
        <f t="shared" si="13"/>
        <v>95.73</v>
      </c>
      <c r="E129" s="34">
        <v>5.17</v>
      </c>
      <c r="F129" s="29">
        <f t="shared" si="12"/>
        <v>9.5730000000000016E-3</v>
      </c>
      <c r="G129" s="29">
        <f t="shared" si="11"/>
        <v>9.5730000000000022</v>
      </c>
    </row>
    <row r="130" spans="3:7" x14ac:dyDescent="0.5">
      <c r="C130" s="34">
        <v>32.08</v>
      </c>
      <c r="D130" s="34">
        <f t="shared" si="13"/>
        <v>96.23</v>
      </c>
      <c r="E130" s="34">
        <v>5.36</v>
      </c>
      <c r="F130" s="29">
        <f t="shared" si="12"/>
        <v>9.6230000000000013E-3</v>
      </c>
      <c r="G130" s="29">
        <f t="shared" ref="G130:G161" si="14">F130/$B$6</f>
        <v>9.6230000000000011</v>
      </c>
    </row>
    <row r="131" spans="3:7" x14ac:dyDescent="0.5">
      <c r="C131" s="34">
        <v>33.119999999999997</v>
      </c>
      <c r="D131" s="34">
        <f t="shared" si="13"/>
        <v>97.27</v>
      </c>
      <c r="E131" s="34">
        <v>5.66</v>
      </c>
      <c r="F131" s="29">
        <f t="shared" ref="F131:F162" si="15">(D131/1000)*($B$3)</f>
        <v>9.7269999999999995E-3</v>
      </c>
      <c r="G131" s="29">
        <f t="shared" si="14"/>
        <v>9.7269999999999985</v>
      </c>
    </row>
    <row r="132" spans="3:7" x14ac:dyDescent="0.5">
      <c r="C132" s="34">
        <v>33.5</v>
      </c>
      <c r="D132" s="34">
        <f t="shared" si="13"/>
        <v>97.65</v>
      </c>
      <c r="E132" s="34">
        <v>5.7</v>
      </c>
      <c r="F132" s="29">
        <f t="shared" si="15"/>
        <v>9.7650000000000011E-3</v>
      </c>
      <c r="G132" s="29">
        <f t="shared" si="14"/>
        <v>9.7650000000000006</v>
      </c>
    </row>
    <row r="133" spans="3:7" x14ac:dyDescent="0.5">
      <c r="C133" s="34">
        <v>34.020000000000003</v>
      </c>
      <c r="D133" s="34">
        <f t="shared" si="13"/>
        <v>98.17</v>
      </c>
      <c r="E133" s="34">
        <v>5.82</v>
      </c>
      <c r="F133" s="29">
        <f t="shared" si="15"/>
        <v>9.8170000000000011E-3</v>
      </c>
      <c r="G133" s="29">
        <f t="shared" si="14"/>
        <v>9.8170000000000002</v>
      </c>
    </row>
    <row r="134" spans="3:7" x14ac:dyDescent="0.5">
      <c r="C134" s="34">
        <v>34.5</v>
      </c>
      <c r="D134" s="34">
        <f t="shared" si="13"/>
        <v>98.65</v>
      </c>
      <c r="E134" s="34">
        <v>5.91</v>
      </c>
      <c r="F134" s="29">
        <f t="shared" si="15"/>
        <v>9.8650000000000005E-3</v>
      </c>
      <c r="G134" s="29">
        <f t="shared" si="14"/>
        <v>9.8650000000000002</v>
      </c>
    </row>
    <row r="135" spans="3:7" x14ac:dyDescent="0.5">
      <c r="C135" s="34">
        <v>35.49</v>
      </c>
      <c r="D135" s="34">
        <f t="shared" si="13"/>
        <v>99.64</v>
      </c>
      <c r="E135" s="34">
        <v>6.07</v>
      </c>
      <c r="F135" s="29">
        <f t="shared" si="15"/>
        <v>9.9640000000000006E-3</v>
      </c>
      <c r="G135" s="29">
        <f t="shared" si="14"/>
        <v>9.9640000000000004</v>
      </c>
    </row>
    <row r="136" spans="3:7" x14ac:dyDescent="0.5">
      <c r="C136" s="34">
        <v>35.99</v>
      </c>
      <c r="D136" s="34">
        <f t="shared" ref="D136:D167" si="16">C136-$B$102 +$D$103</f>
        <v>100.14</v>
      </c>
      <c r="E136" s="34">
        <v>6.16</v>
      </c>
      <c r="F136" s="29">
        <f t="shared" si="15"/>
        <v>1.0014000000000002E-2</v>
      </c>
      <c r="G136" s="29">
        <f t="shared" si="14"/>
        <v>10.014000000000001</v>
      </c>
    </row>
    <row r="137" spans="3:7" x14ac:dyDescent="0.5">
      <c r="C137" s="34">
        <v>36.47</v>
      </c>
      <c r="D137" s="34">
        <f t="shared" si="16"/>
        <v>100.62</v>
      </c>
      <c r="E137" s="34">
        <v>6.24</v>
      </c>
      <c r="F137" s="29">
        <f t="shared" si="15"/>
        <v>1.0062000000000001E-2</v>
      </c>
      <c r="G137" s="29">
        <f t="shared" si="14"/>
        <v>10.062000000000001</v>
      </c>
    </row>
    <row r="138" spans="3:7" x14ac:dyDescent="0.5">
      <c r="C138" s="34">
        <v>36.979999999999997</v>
      </c>
      <c r="D138" s="34">
        <f t="shared" si="16"/>
        <v>101.13</v>
      </c>
      <c r="E138" s="34">
        <v>6.32</v>
      </c>
      <c r="F138" s="29">
        <f t="shared" si="15"/>
        <v>1.0113E-2</v>
      </c>
      <c r="G138" s="29">
        <f t="shared" si="14"/>
        <v>10.113</v>
      </c>
    </row>
    <row r="139" spans="3:7" x14ac:dyDescent="0.5">
      <c r="C139" s="34">
        <v>37.5</v>
      </c>
      <c r="D139" s="34">
        <f t="shared" si="16"/>
        <v>101.65</v>
      </c>
      <c r="E139" s="34">
        <v>6.43</v>
      </c>
      <c r="F139" s="29">
        <f t="shared" si="15"/>
        <v>1.0165E-2</v>
      </c>
      <c r="G139" s="29">
        <f t="shared" si="14"/>
        <v>10.165000000000001</v>
      </c>
    </row>
    <row r="140" spans="3:7" x14ac:dyDescent="0.5">
      <c r="C140" s="34">
        <v>37.950000000000003</v>
      </c>
      <c r="D140" s="34">
        <f t="shared" si="16"/>
        <v>102.10000000000001</v>
      </c>
      <c r="E140" s="34">
        <v>6.53</v>
      </c>
      <c r="F140" s="29">
        <f t="shared" si="15"/>
        <v>1.0210000000000002E-2</v>
      </c>
      <c r="G140" s="29">
        <f t="shared" si="14"/>
        <v>10.210000000000003</v>
      </c>
    </row>
    <row r="141" spans="3:7" x14ac:dyDescent="0.5">
      <c r="C141" s="34">
        <v>38.520000000000003</v>
      </c>
      <c r="D141" s="34">
        <f t="shared" si="16"/>
        <v>102.67</v>
      </c>
      <c r="E141" s="34">
        <v>6.66</v>
      </c>
      <c r="F141" s="29">
        <f t="shared" si="15"/>
        <v>1.0267E-2</v>
      </c>
      <c r="G141" s="29">
        <f t="shared" si="14"/>
        <v>10.266999999999999</v>
      </c>
    </row>
    <row r="142" spans="3:7" x14ac:dyDescent="0.5">
      <c r="C142" s="34">
        <v>39.020000000000003</v>
      </c>
      <c r="D142" s="34">
        <f t="shared" si="16"/>
        <v>103.17</v>
      </c>
      <c r="E142" s="34">
        <v>6.8</v>
      </c>
      <c r="F142" s="29">
        <f t="shared" si="15"/>
        <v>1.0317E-2</v>
      </c>
      <c r="G142" s="29">
        <f t="shared" si="14"/>
        <v>10.317</v>
      </c>
    </row>
    <row r="143" spans="3:7" x14ac:dyDescent="0.5">
      <c r="C143" s="34">
        <v>39.5</v>
      </c>
      <c r="D143" s="34">
        <f t="shared" si="16"/>
        <v>103.65</v>
      </c>
      <c r="E143" s="34">
        <v>6.93</v>
      </c>
      <c r="F143" s="29">
        <f t="shared" si="15"/>
        <v>1.0365000000000001E-2</v>
      </c>
      <c r="G143" s="29">
        <f t="shared" si="14"/>
        <v>10.365</v>
      </c>
    </row>
    <row r="144" spans="3:7" x14ac:dyDescent="0.5">
      <c r="C144" s="34">
        <v>40</v>
      </c>
      <c r="D144" s="34">
        <f t="shared" si="16"/>
        <v>104.15</v>
      </c>
      <c r="E144" s="34">
        <v>7.18</v>
      </c>
      <c r="F144" s="29">
        <f t="shared" si="15"/>
        <v>1.0415000000000001E-2</v>
      </c>
      <c r="G144" s="29">
        <f t="shared" si="14"/>
        <v>10.415000000000001</v>
      </c>
    </row>
    <row r="145" spans="3:7" x14ac:dyDescent="0.5">
      <c r="C145" s="34">
        <v>40.49</v>
      </c>
      <c r="D145" s="34">
        <f t="shared" si="16"/>
        <v>104.64000000000001</v>
      </c>
      <c r="E145" s="34">
        <v>7.51</v>
      </c>
      <c r="F145" s="29">
        <f t="shared" si="15"/>
        <v>1.0464000000000001E-2</v>
      </c>
      <c r="G145" s="29">
        <f t="shared" si="14"/>
        <v>10.464</v>
      </c>
    </row>
    <row r="146" spans="3:7" x14ac:dyDescent="0.5">
      <c r="C146" s="34">
        <v>41.01</v>
      </c>
      <c r="D146" s="34">
        <f t="shared" si="16"/>
        <v>105.16</v>
      </c>
      <c r="E146" s="34">
        <v>7.88</v>
      </c>
      <c r="F146" s="29">
        <f t="shared" si="15"/>
        <v>1.0516000000000001E-2</v>
      </c>
      <c r="G146" s="29">
        <f t="shared" si="14"/>
        <v>10.516</v>
      </c>
    </row>
    <row r="147" spans="3:7" x14ac:dyDescent="0.5">
      <c r="C147" s="34">
        <v>41.54</v>
      </c>
      <c r="D147" s="34">
        <f t="shared" si="16"/>
        <v>105.69</v>
      </c>
      <c r="E147" s="34">
        <v>8.2200000000000006</v>
      </c>
      <c r="F147" s="29">
        <f t="shared" si="15"/>
        <v>1.0569E-2</v>
      </c>
      <c r="G147" s="29">
        <f t="shared" si="14"/>
        <v>10.569000000000001</v>
      </c>
    </row>
    <row r="148" spans="3:7" x14ac:dyDescent="0.5">
      <c r="C148" s="34">
        <v>42</v>
      </c>
      <c r="D148" s="34">
        <f t="shared" si="16"/>
        <v>106.15</v>
      </c>
      <c r="E148" s="34">
        <v>8.57</v>
      </c>
      <c r="F148" s="29">
        <f t="shared" si="15"/>
        <v>1.0615000000000001E-2</v>
      </c>
      <c r="G148" s="29">
        <f t="shared" si="14"/>
        <v>10.615</v>
      </c>
    </row>
    <row r="149" spans="3:7" x14ac:dyDescent="0.5">
      <c r="C149" s="34">
        <v>43.11</v>
      </c>
      <c r="D149" s="34">
        <f t="shared" si="16"/>
        <v>107.26</v>
      </c>
      <c r="E149" s="34">
        <v>8.7200000000000006</v>
      </c>
      <c r="F149" s="29">
        <f t="shared" si="15"/>
        <v>1.0726000000000001E-2</v>
      </c>
      <c r="G149" s="29">
        <f t="shared" si="14"/>
        <v>10.726000000000001</v>
      </c>
    </row>
    <row r="150" spans="3:7" x14ac:dyDescent="0.5">
      <c r="C150" s="34">
        <v>43.49</v>
      </c>
      <c r="D150" s="34">
        <f t="shared" si="16"/>
        <v>107.64000000000001</v>
      </c>
      <c r="E150" s="34">
        <v>8.7799999999999994</v>
      </c>
      <c r="F150" s="29">
        <f t="shared" si="15"/>
        <v>1.0764000000000003E-2</v>
      </c>
      <c r="G150" s="29">
        <f t="shared" si="14"/>
        <v>10.764000000000003</v>
      </c>
    </row>
    <row r="151" spans="3:7" x14ac:dyDescent="0.5">
      <c r="C151" s="34">
        <v>43.99</v>
      </c>
      <c r="D151" s="34">
        <f t="shared" si="16"/>
        <v>108.14000000000001</v>
      </c>
      <c r="E151" s="34">
        <v>8.8699999999999992</v>
      </c>
      <c r="F151" s="29">
        <f t="shared" si="15"/>
        <v>1.0814000000000002E-2</v>
      </c>
      <c r="G151" s="29">
        <f t="shared" si="14"/>
        <v>10.814000000000002</v>
      </c>
    </row>
    <row r="152" spans="3:7" x14ac:dyDescent="0.5">
      <c r="C152" s="34">
        <v>44.51</v>
      </c>
      <c r="D152" s="34">
        <f t="shared" si="16"/>
        <v>108.66</v>
      </c>
      <c r="E152" s="34">
        <v>8.99</v>
      </c>
      <c r="F152" s="29">
        <f t="shared" si="15"/>
        <v>1.0866000000000001E-2</v>
      </c>
      <c r="G152" s="29">
        <f t="shared" si="14"/>
        <v>10.866</v>
      </c>
    </row>
    <row r="153" spans="3:7" x14ac:dyDescent="0.5">
      <c r="C153" s="34">
        <v>45</v>
      </c>
      <c r="D153" s="34">
        <f t="shared" si="16"/>
        <v>109.15</v>
      </c>
      <c r="E153" s="34">
        <v>9.0500000000000007</v>
      </c>
      <c r="F153" s="29">
        <f t="shared" si="15"/>
        <v>1.0915000000000001E-2</v>
      </c>
      <c r="G153" s="29">
        <f t="shared" si="14"/>
        <v>10.915000000000001</v>
      </c>
    </row>
    <row r="154" spans="3:7" x14ac:dyDescent="0.5">
      <c r="C154" s="34">
        <v>45.49</v>
      </c>
      <c r="D154" s="34">
        <f t="shared" si="16"/>
        <v>109.64000000000001</v>
      </c>
      <c r="E154" s="34">
        <v>9.15</v>
      </c>
      <c r="F154" s="29">
        <f t="shared" si="15"/>
        <v>1.0964000000000002E-2</v>
      </c>
      <c r="G154" s="29">
        <f t="shared" si="14"/>
        <v>10.964</v>
      </c>
    </row>
    <row r="155" spans="3:7" x14ac:dyDescent="0.5">
      <c r="C155" s="34">
        <v>45.95</v>
      </c>
      <c r="D155" s="34">
        <f t="shared" si="16"/>
        <v>110.10000000000001</v>
      </c>
      <c r="E155" s="34">
        <v>9.23</v>
      </c>
      <c r="F155" s="29">
        <f t="shared" si="15"/>
        <v>1.1010000000000001E-2</v>
      </c>
      <c r="G155" s="29">
        <f t="shared" si="14"/>
        <v>11.01</v>
      </c>
    </row>
    <row r="156" spans="3:7" x14ac:dyDescent="0.5">
      <c r="C156" s="34">
        <v>46.48</v>
      </c>
      <c r="D156" s="34">
        <f t="shared" si="16"/>
        <v>110.63</v>
      </c>
      <c r="E156" s="34">
        <v>9.31</v>
      </c>
      <c r="F156" s="29">
        <f t="shared" si="15"/>
        <v>1.1063E-2</v>
      </c>
      <c r="G156" s="29">
        <f t="shared" si="14"/>
        <v>11.062999999999999</v>
      </c>
    </row>
    <row r="157" spans="3:7" x14ac:dyDescent="0.5">
      <c r="C157" s="34">
        <v>46.95</v>
      </c>
      <c r="D157" s="34">
        <f t="shared" si="16"/>
        <v>111.10000000000001</v>
      </c>
      <c r="E157" s="34">
        <v>9.39</v>
      </c>
      <c r="F157" s="29">
        <f t="shared" si="15"/>
        <v>1.1110000000000002E-2</v>
      </c>
      <c r="G157" s="29">
        <f t="shared" si="14"/>
        <v>11.110000000000001</v>
      </c>
    </row>
    <row r="158" spans="3:7" x14ac:dyDescent="0.5">
      <c r="C158" s="34">
        <v>47.48</v>
      </c>
      <c r="D158" s="34">
        <f t="shared" si="16"/>
        <v>111.63</v>
      </c>
      <c r="E158" s="34">
        <v>9.48</v>
      </c>
      <c r="F158" s="29">
        <f t="shared" si="15"/>
        <v>1.1162999999999999E-2</v>
      </c>
      <c r="G158" s="29">
        <f t="shared" si="14"/>
        <v>11.162999999999998</v>
      </c>
    </row>
    <row r="159" spans="3:7" x14ac:dyDescent="0.5">
      <c r="C159" s="34">
        <v>47.97</v>
      </c>
      <c r="D159" s="34">
        <f t="shared" si="16"/>
        <v>112.12</v>
      </c>
      <c r="E159" s="34">
        <v>9.59</v>
      </c>
      <c r="F159" s="29">
        <f t="shared" si="15"/>
        <v>1.1212000000000001E-2</v>
      </c>
      <c r="G159" s="29">
        <f t="shared" si="14"/>
        <v>11.212000000000002</v>
      </c>
    </row>
    <row r="160" spans="3:7" x14ac:dyDescent="0.5">
      <c r="C160" s="34">
        <v>48.48</v>
      </c>
      <c r="D160" s="34">
        <f t="shared" si="16"/>
        <v>112.63</v>
      </c>
      <c r="E160" s="34">
        <v>9.69</v>
      </c>
      <c r="F160" s="29">
        <f t="shared" si="15"/>
        <v>1.1263E-2</v>
      </c>
      <c r="G160" s="29">
        <f t="shared" si="14"/>
        <v>11.263</v>
      </c>
    </row>
    <row r="161" spans="1:7" x14ac:dyDescent="0.5">
      <c r="C161" s="34">
        <v>49.01</v>
      </c>
      <c r="D161" s="34">
        <f t="shared" si="16"/>
        <v>113.16</v>
      </c>
      <c r="E161" s="34">
        <v>9.81</v>
      </c>
      <c r="F161" s="29">
        <f t="shared" si="15"/>
        <v>1.1316E-2</v>
      </c>
      <c r="G161" s="29">
        <f t="shared" si="14"/>
        <v>11.315999999999999</v>
      </c>
    </row>
    <row r="162" spans="1:7" ht="16.149999999999999" thickBot="1" x14ac:dyDescent="0.55000000000000004">
      <c r="C162" s="34">
        <v>49.52</v>
      </c>
      <c r="D162" s="34">
        <f t="shared" si="16"/>
        <v>113.67000000000002</v>
      </c>
      <c r="E162" s="34">
        <v>9.93</v>
      </c>
      <c r="F162" s="29">
        <f t="shared" si="15"/>
        <v>1.1367000000000002E-2</v>
      </c>
      <c r="G162" s="29">
        <f t="shared" ref="G162:G193" si="17">F162/$B$6</f>
        <v>11.367000000000003</v>
      </c>
    </row>
    <row r="163" spans="1:7" ht="16.149999999999999" thickBot="1" x14ac:dyDescent="0.55000000000000004">
      <c r="A163" s="36" t="s">
        <v>54</v>
      </c>
      <c r="B163" s="37">
        <v>9.25</v>
      </c>
      <c r="C163" s="34">
        <v>9.25</v>
      </c>
      <c r="D163" s="34">
        <f t="shared" ref="D163:D171" si="18">C163-$B$163 +$D$162</f>
        <v>113.67000000000002</v>
      </c>
      <c r="E163" s="34">
        <v>9.92</v>
      </c>
      <c r="F163" s="29">
        <f t="shared" ref="F163:F171" si="19">(D163/1000)*($B$3)</f>
        <v>1.1367000000000002E-2</v>
      </c>
      <c r="G163" s="29">
        <f t="shared" si="17"/>
        <v>11.367000000000003</v>
      </c>
    </row>
    <row r="164" spans="1:7" x14ac:dyDescent="0.5">
      <c r="C164" s="34">
        <v>9.99</v>
      </c>
      <c r="D164" s="34">
        <f t="shared" si="18"/>
        <v>114.41000000000001</v>
      </c>
      <c r="E164" s="34">
        <v>10.1</v>
      </c>
      <c r="F164" s="29">
        <f t="shared" si="19"/>
        <v>1.1441000000000002E-2</v>
      </c>
      <c r="G164" s="29">
        <f t="shared" si="17"/>
        <v>11.441000000000001</v>
      </c>
    </row>
    <row r="165" spans="1:7" x14ac:dyDescent="0.5">
      <c r="C165" s="34">
        <v>10.49</v>
      </c>
      <c r="D165" s="34">
        <f t="shared" si="18"/>
        <v>114.91000000000001</v>
      </c>
      <c r="E165" s="34">
        <v>10.26</v>
      </c>
      <c r="F165" s="29">
        <f t="shared" si="19"/>
        <v>1.1491000000000001E-2</v>
      </c>
      <c r="G165" s="29">
        <f t="shared" si="17"/>
        <v>11.491000000000001</v>
      </c>
    </row>
    <row r="166" spans="1:7" x14ac:dyDescent="0.5">
      <c r="C166" s="34">
        <v>11</v>
      </c>
      <c r="D166" s="34">
        <f t="shared" si="18"/>
        <v>115.42000000000002</v>
      </c>
      <c r="E166" s="34">
        <v>10.45</v>
      </c>
      <c r="F166" s="29">
        <f t="shared" si="19"/>
        <v>1.1542000000000004E-2</v>
      </c>
      <c r="G166" s="29">
        <f t="shared" si="17"/>
        <v>11.542000000000003</v>
      </c>
    </row>
    <row r="167" spans="1:7" x14ac:dyDescent="0.5">
      <c r="C167" s="34">
        <v>11.48</v>
      </c>
      <c r="D167" s="34">
        <f t="shared" si="18"/>
        <v>115.90000000000002</v>
      </c>
      <c r="E167" s="34">
        <v>10.6</v>
      </c>
      <c r="F167" s="29">
        <f t="shared" si="19"/>
        <v>1.1590000000000003E-2</v>
      </c>
      <c r="G167" s="29">
        <f t="shared" si="17"/>
        <v>11.590000000000003</v>
      </c>
    </row>
    <row r="168" spans="1:7" x14ac:dyDescent="0.5">
      <c r="C168" s="34">
        <v>12.05</v>
      </c>
      <c r="D168" s="34">
        <f t="shared" si="18"/>
        <v>116.47000000000001</v>
      </c>
      <c r="E168" s="34">
        <v>10.74</v>
      </c>
      <c r="F168" s="29">
        <f t="shared" si="19"/>
        <v>1.1647000000000003E-2</v>
      </c>
      <c r="G168" s="29">
        <f t="shared" si="17"/>
        <v>11.647000000000002</v>
      </c>
    </row>
    <row r="169" spans="1:7" x14ac:dyDescent="0.5">
      <c r="C169" s="34">
        <v>12.51</v>
      </c>
      <c r="D169" s="34">
        <f t="shared" si="18"/>
        <v>116.93000000000002</v>
      </c>
      <c r="E169" s="34">
        <v>10.81</v>
      </c>
      <c r="F169" s="29">
        <f t="shared" si="19"/>
        <v>1.1693000000000002E-2</v>
      </c>
      <c r="G169" s="29">
        <f t="shared" si="17"/>
        <v>11.693000000000001</v>
      </c>
    </row>
    <row r="170" spans="1:7" x14ac:dyDescent="0.5">
      <c r="C170" s="34">
        <v>13</v>
      </c>
      <c r="D170" s="34">
        <f t="shared" si="18"/>
        <v>117.42000000000002</v>
      </c>
      <c r="E170" s="34">
        <v>10.91</v>
      </c>
      <c r="F170" s="29">
        <f t="shared" si="19"/>
        <v>1.1742000000000002E-2</v>
      </c>
      <c r="G170" s="29">
        <f t="shared" si="17"/>
        <v>11.742000000000003</v>
      </c>
    </row>
    <row r="171" spans="1:7" x14ac:dyDescent="0.5">
      <c r="C171" s="34">
        <v>13.51</v>
      </c>
      <c r="D171" s="34">
        <f t="shared" si="18"/>
        <v>117.93000000000002</v>
      </c>
      <c r="E171" s="34">
        <v>11</v>
      </c>
      <c r="F171" s="29">
        <f t="shared" si="19"/>
        <v>1.1793000000000003E-2</v>
      </c>
      <c r="G171" s="29">
        <f t="shared" si="17"/>
        <v>11.793000000000003</v>
      </c>
    </row>
  </sheetData>
  <mergeCells count="6">
    <mergeCell ref="R28:S28"/>
    <mergeCell ref="R3:S3"/>
    <mergeCell ref="R8:S8"/>
    <mergeCell ref="R13:S13"/>
    <mergeCell ref="R18:S18"/>
    <mergeCell ref="R23:S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CD40-CF49-734B-96A3-253BC6567C60}">
  <sheetPr>
    <tabColor theme="8"/>
  </sheetPr>
  <dimension ref="A1:S138"/>
  <sheetViews>
    <sheetView topLeftCell="B29" zoomScale="71" zoomScaleNormal="100" workbookViewId="0">
      <selection activeCell="G91" sqref="G91"/>
    </sheetView>
  </sheetViews>
  <sheetFormatPr defaultColWidth="11" defaultRowHeight="15.75" x14ac:dyDescent="0.5"/>
  <cols>
    <col min="1" max="1" width="25.3125" customWidth="1"/>
    <col min="2" max="2" width="13.8125" customWidth="1"/>
    <col min="3" max="8" width="21.5" style="10" customWidth="1"/>
  </cols>
  <sheetData>
    <row r="1" spans="1:19" ht="26.65" x14ac:dyDescent="0.5">
      <c r="A1" s="24" t="s">
        <v>23</v>
      </c>
      <c r="B1" s="25">
        <v>13.5</v>
      </c>
      <c r="C1" s="26" t="s">
        <v>24</v>
      </c>
      <c r="D1" s="27" t="s">
        <v>25</v>
      </c>
      <c r="E1" s="27" t="s">
        <v>26</v>
      </c>
      <c r="F1" s="27" t="s">
        <v>27</v>
      </c>
      <c r="G1" s="27" t="s">
        <v>28</v>
      </c>
    </row>
    <row r="2" spans="1:19" x14ac:dyDescent="0.5">
      <c r="A2" s="24" t="s">
        <v>29</v>
      </c>
      <c r="B2" s="28">
        <v>1.91</v>
      </c>
      <c r="C2" s="29">
        <f>B1</f>
        <v>13.5</v>
      </c>
      <c r="D2" s="29">
        <f t="shared" ref="D2:D33" si="0">C2-$B$1</f>
        <v>0</v>
      </c>
      <c r="E2" s="29">
        <v>1.91</v>
      </c>
      <c r="F2" s="29">
        <f>(D2)*($B$3)</f>
        <v>0</v>
      </c>
      <c r="G2" s="29">
        <f t="shared" ref="G2:G33" si="1">F2/$B$6</f>
        <v>0</v>
      </c>
    </row>
    <row r="3" spans="1:19" ht="34.049999999999997" customHeight="1" x14ac:dyDescent="0.5">
      <c r="A3" s="24" t="s">
        <v>30</v>
      </c>
      <c r="B3" s="28">
        <v>0.1</v>
      </c>
      <c r="C3" s="29">
        <v>13.98</v>
      </c>
      <c r="D3" s="29">
        <f t="shared" si="0"/>
        <v>0.48000000000000043</v>
      </c>
      <c r="E3" s="29">
        <v>1.91</v>
      </c>
      <c r="F3" s="29">
        <f t="shared" ref="F3:F34" si="2">(D3/1000)*($B$3)</f>
        <v>4.8000000000000049E-5</v>
      </c>
      <c r="G3" s="29">
        <f t="shared" si="1"/>
        <v>4.800000000000005E-2</v>
      </c>
      <c r="R3" s="41" t="s">
        <v>48</v>
      </c>
      <c r="S3" s="41"/>
    </row>
    <row r="4" spans="1:19" x14ac:dyDescent="0.5">
      <c r="A4" s="24" t="s">
        <v>31</v>
      </c>
      <c r="B4" s="28">
        <v>0.1</v>
      </c>
      <c r="C4" s="29">
        <v>14.45</v>
      </c>
      <c r="D4" s="29">
        <f t="shared" si="0"/>
        <v>0.94999999999999929</v>
      </c>
      <c r="E4" s="29">
        <v>1.91</v>
      </c>
      <c r="F4" s="29">
        <f t="shared" si="2"/>
        <v>9.4999999999999924E-5</v>
      </c>
      <c r="G4" s="29">
        <f t="shared" si="1"/>
        <v>9.4999999999999918E-2</v>
      </c>
      <c r="R4" s="18" t="s">
        <v>32</v>
      </c>
      <c r="S4" s="18" t="s">
        <v>33</v>
      </c>
    </row>
    <row r="5" spans="1:19" x14ac:dyDescent="0.5">
      <c r="A5" s="24" t="s">
        <v>34</v>
      </c>
      <c r="B5" s="28">
        <v>10</v>
      </c>
      <c r="C5" s="29">
        <v>15</v>
      </c>
      <c r="D5" s="29">
        <f t="shared" si="0"/>
        <v>1.5</v>
      </c>
      <c r="E5" s="29">
        <v>1.91</v>
      </c>
      <c r="F5" s="29">
        <f t="shared" si="2"/>
        <v>1.5000000000000001E-4</v>
      </c>
      <c r="G5" s="29">
        <f t="shared" si="1"/>
        <v>0.15000000000000002</v>
      </c>
      <c r="R5">
        <v>2.851</v>
      </c>
      <c r="S5">
        <v>3.32</v>
      </c>
    </row>
    <row r="6" spans="1:19" x14ac:dyDescent="0.5">
      <c r="A6" s="24" t="s">
        <v>35</v>
      </c>
      <c r="B6" s="28">
        <f>B4*(B5/1000)</f>
        <v>1E-3</v>
      </c>
      <c r="C6" s="29">
        <v>15.49</v>
      </c>
      <c r="D6" s="29">
        <f t="shared" si="0"/>
        <v>1.9900000000000002</v>
      </c>
      <c r="E6" s="29">
        <v>1.92</v>
      </c>
      <c r="F6" s="29">
        <f t="shared" si="2"/>
        <v>1.9900000000000001E-4</v>
      </c>
      <c r="G6" s="29">
        <f t="shared" si="1"/>
        <v>0.19900000000000001</v>
      </c>
    </row>
    <row r="7" spans="1:19" x14ac:dyDescent="0.5">
      <c r="A7" s="30"/>
      <c r="B7" s="30"/>
      <c r="C7" s="29">
        <v>16.010000000000002</v>
      </c>
      <c r="D7" s="29">
        <f t="shared" si="0"/>
        <v>2.5100000000000016</v>
      </c>
      <c r="E7" s="29">
        <v>1.92</v>
      </c>
      <c r="F7" s="29">
        <f t="shared" si="2"/>
        <v>2.5100000000000014E-4</v>
      </c>
      <c r="G7" s="29">
        <f t="shared" si="1"/>
        <v>0.25100000000000011</v>
      </c>
    </row>
    <row r="8" spans="1:19" x14ac:dyDescent="0.5">
      <c r="A8" s="30"/>
      <c r="B8" s="30"/>
      <c r="C8" s="34">
        <v>16.48</v>
      </c>
      <c r="D8" s="34">
        <f t="shared" si="0"/>
        <v>2.9800000000000004</v>
      </c>
      <c r="E8" s="34">
        <v>1.93</v>
      </c>
      <c r="F8" s="29">
        <f t="shared" si="2"/>
        <v>2.9800000000000009E-4</v>
      </c>
      <c r="G8" s="29">
        <f t="shared" si="1"/>
        <v>0.2980000000000001</v>
      </c>
      <c r="R8" s="40" t="s">
        <v>49</v>
      </c>
      <c r="S8" s="40"/>
    </row>
    <row r="9" spans="1:19" x14ac:dyDescent="0.5">
      <c r="A9" s="30"/>
      <c r="B9" s="30"/>
      <c r="C9" s="34">
        <v>17.079999999999998</v>
      </c>
      <c r="D9" s="34">
        <f t="shared" si="0"/>
        <v>3.5799999999999983</v>
      </c>
      <c r="E9" s="34">
        <v>1.94</v>
      </c>
      <c r="F9" s="29">
        <f t="shared" si="2"/>
        <v>3.5799999999999981E-4</v>
      </c>
      <c r="G9" s="29">
        <f t="shared" si="1"/>
        <v>0.35799999999999982</v>
      </c>
      <c r="R9" s="18" t="s">
        <v>32</v>
      </c>
      <c r="S9" s="18" t="s">
        <v>33</v>
      </c>
    </row>
    <row r="10" spans="1:19" x14ac:dyDescent="0.5">
      <c r="A10" s="30"/>
      <c r="B10" s="30"/>
      <c r="C10" s="34">
        <v>17.489999999999998</v>
      </c>
      <c r="D10" s="34">
        <f t="shared" si="0"/>
        <v>3.9899999999999984</v>
      </c>
      <c r="E10" s="34">
        <v>1.95</v>
      </c>
      <c r="F10" s="29">
        <f t="shared" si="2"/>
        <v>3.9899999999999989E-4</v>
      </c>
      <c r="G10" s="29">
        <f t="shared" si="1"/>
        <v>0.39899999999999985</v>
      </c>
      <c r="R10">
        <v>2.3980000000000001</v>
      </c>
      <c r="S10">
        <v>2.75</v>
      </c>
    </row>
    <row r="11" spans="1:19" x14ac:dyDescent="0.5">
      <c r="A11" s="30"/>
      <c r="B11" s="30"/>
      <c r="C11" s="34">
        <v>18</v>
      </c>
      <c r="D11" s="34">
        <f t="shared" si="0"/>
        <v>4.5</v>
      </c>
      <c r="E11" s="34">
        <v>1.96</v>
      </c>
      <c r="F11" s="29">
        <f t="shared" si="2"/>
        <v>4.4999999999999999E-4</v>
      </c>
      <c r="G11" s="29">
        <f t="shared" si="1"/>
        <v>0.44999999999999996</v>
      </c>
    </row>
    <row r="12" spans="1:19" x14ac:dyDescent="0.5">
      <c r="A12" s="30"/>
      <c r="B12" s="30"/>
      <c r="C12" s="34">
        <v>18.48</v>
      </c>
      <c r="D12" s="34">
        <f t="shared" si="0"/>
        <v>4.9800000000000004</v>
      </c>
      <c r="E12" s="34">
        <v>1.97</v>
      </c>
      <c r="F12" s="29">
        <f t="shared" si="2"/>
        <v>4.9800000000000007E-4</v>
      </c>
      <c r="G12" s="29">
        <f t="shared" si="1"/>
        <v>0.49800000000000005</v>
      </c>
    </row>
    <row r="13" spans="1:19" x14ac:dyDescent="0.5">
      <c r="A13" s="30"/>
      <c r="B13" s="30"/>
      <c r="C13" s="34">
        <v>18.989999999999998</v>
      </c>
      <c r="D13" s="34">
        <f t="shared" si="0"/>
        <v>5.4899999999999984</v>
      </c>
      <c r="E13" s="34">
        <v>1.98</v>
      </c>
      <c r="F13" s="29">
        <f t="shared" si="2"/>
        <v>5.489999999999999E-4</v>
      </c>
      <c r="G13" s="29">
        <f t="shared" si="1"/>
        <v>0.54899999999999993</v>
      </c>
      <c r="R13" s="41" t="s">
        <v>50</v>
      </c>
      <c r="S13" s="41"/>
    </row>
    <row r="14" spans="1:19" x14ac:dyDescent="0.5">
      <c r="A14" s="30"/>
      <c r="B14" s="30"/>
      <c r="C14" s="34">
        <v>19.45</v>
      </c>
      <c r="D14" s="34">
        <f t="shared" si="0"/>
        <v>5.9499999999999993</v>
      </c>
      <c r="E14" s="34">
        <v>1.99</v>
      </c>
      <c r="F14" s="29">
        <f t="shared" si="2"/>
        <v>5.9500000000000004E-4</v>
      </c>
      <c r="G14" s="29">
        <f t="shared" si="1"/>
        <v>0.59500000000000008</v>
      </c>
      <c r="R14" s="18" t="s">
        <v>32</v>
      </c>
      <c r="S14" s="18" t="s">
        <v>33</v>
      </c>
    </row>
    <row r="15" spans="1:19" x14ac:dyDescent="0.5">
      <c r="A15" s="30"/>
      <c r="B15" s="30"/>
      <c r="C15" s="34">
        <v>20.010000000000002</v>
      </c>
      <c r="D15" s="34">
        <f t="shared" si="0"/>
        <v>6.5100000000000016</v>
      </c>
      <c r="E15" s="34">
        <v>2</v>
      </c>
      <c r="F15" s="29">
        <f t="shared" si="2"/>
        <v>6.5100000000000021E-4</v>
      </c>
      <c r="G15" s="29">
        <f t="shared" si="1"/>
        <v>0.65100000000000025</v>
      </c>
      <c r="R15">
        <v>3.84</v>
      </c>
      <c r="S15">
        <v>7.47</v>
      </c>
    </row>
    <row r="16" spans="1:19" x14ac:dyDescent="0.5">
      <c r="A16" s="30"/>
      <c r="B16" s="30"/>
      <c r="C16" s="34">
        <v>20.5</v>
      </c>
      <c r="D16" s="34">
        <f t="shared" si="0"/>
        <v>7</v>
      </c>
      <c r="E16" s="34">
        <v>2.0099999999999998</v>
      </c>
      <c r="F16" s="29">
        <f t="shared" si="2"/>
        <v>7.000000000000001E-4</v>
      </c>
      <c r="G16" s="29">
        <f t="shared" si="1"/>
        <v>0.70000000000000007</v>
      </c>
    </row>
    <row r="17" spans="1:19" x14ac:dyDescent="0.5">
      <c r="A17" s="30"/>
      <c r="B17" s="30"/>
      <c r="C17" s="34">
        <v>21.1</v>
      </c>
      <c r="D17" s="34">
        <f t="shared" si="0"/>
        <v>7.6000000000000014</v>
      </c>
      <c r="E17" s="34">
        <v>2.02</v>
      </c>
      <c r="F17" s="29">
        <f t="shared" si="2"/>
        <v>7.6000000000000026E-4</v>
      </c>
      <c r="G17" s="29">
        <f t="shared" si="1"/>
        <v>0.76000000000000023</v>
      </c>
    </row>
    <row r="18" spans="1:19" x14ac:dyDescent="0.5">
      <c r="A18" s="30"/>
      <c r="B18" s="30"/>
      <c r="C18" s="34">
        <v>21.49</v>
      </c>
      <c r="D18" s="34">
        <f t="shared" si="0"/>
        <v>7.9899999999999984</v>
      </c>
      <c r="E18" s="34">
        <v>2.0299999999999998</v>
      </c>
      <c r="F18" s="29">
        <f t="shared" si="2"/>
        <v>7.9899999999999991E-4</v>
      </c>
      <c r="G18" s="29">
        <f t="shared" si="1"/>
        <v>0.79899999999999993</v>
      </c>
      <c r="R18" s="40" t="s">
        <v>51</v>
      </c>
      <c r="S18" s="40"/>
    </row>
    <row r="19" spans="1:19" x14ac:dyDescent="0.5">
      <c r="A19" s="30"/>
      <c r="B19" s="30"/>
      <c r="C19" s="34">
        <v>22</v>
      </c>
      <c r="D19" s="34">
        <f t="shared" si="0"/>
        <v>8.5</v>
      </c>
      <c r="E19" s="34">
        <v>2.04</v>
      </c>
      <c r="F19" s="29">
        <f t="shared" si="2"/>
        <v>8.5000000000000006E-4</v>
      </c>
      <c r="G19" s="29">
        <f t="shared" si="1"/>
        <v>0.85000000000000009</v>
      </c>
      <c r="R19" s="18" t="s">
        <v>32</v>
      </c>
      <c r="S19" s="18" t="s">
        <v>33</v>
      </c>
    </row>
    <row r="20" spans="1:19" x14ac:dyDescent="0.5">
      <c r="A20" s="30"/>
      <c r="B20" s="30"/>
      <c r="C20" s="34">
        <v>22.51</v>
      </c>
      <c r="D20" s="34">
        <f t="shared" si="0"/>
        <v>9.0100000000000016</v>
      </c>
      <c r="E20" s="34">
        <v>2.06</v>
      </c>
      <c r="F20" s="29">
        <f t="shared" si="2"/>
        <v>9.0100000000000032E-4</v>
      </c>
      <c r="G20" s="29">
        <f t="shared" si="1"/>
        <v>0.90100000000000036</v>
      </c>
      <c r="R20">
        <v>3.4</v>
      </c>
      <c r="S20">
        <v>4.34</v>
      </c>
    </row>
    <row r="21" spans="1:19" x14ac:dyDescent="0.5">
      <c r="A21" s="30"/>
      <c r="B21" s="30"/>
      <c r="C21" s="34">
        <v>23</v>
      </c>
      <c r="D21" s="34">
        <f t="shared" si="0"/>
        <v>9.5</v>
      </c>
      <c r="E21" s="34">
        <v>2.0699999999999998</v>
      </c>
      <c r="F21" s="29">
        <f t="shared" si="2"/>
        <v>9.5E-4</v>
      </c>
      <c r="G21" s="29">
        <f t="shared" si="1"/>
        <v>0.95</v>
      </c>
    </row>
    <row r="22" spans="1:19" x14ac:dyDescent="0.5">
      <c r="C22" s="34">
        <v>23.51</v>
      </c>
      <c r="D22" s="34">
        <f t="shared" si="0"/>
        <v>10.010000000000002</v>
      </c>
      <c r="E22" s="34">
        <v>2.09</v>
      </c>
      <c r="F22" s="29">
        <f t="shared" si="2"/>
        <v>1.0010000000000002E-3</v>
      </c>
      <c r="G22" s="29">
        <f t="shared" si="1"/>
        <v>1.0010000000000001</v>
      </c>
    </row>
    <row r="23" spans="1:19" x14ac:dyDescent="0.5">
      <c r="C23" s="34">
        <v>24.1</v>
      </c>
      <c r="D23" s="34">
        <f t="shared" si="0"/>
        <v>10.600000000000001</v>
      </c>
      <c r="E23" s="34">
        <v>2.1</v>
      </c>
      <c r="F23" s="29">
        <f t="shared" si="2"/>
        <v>1.0600000000000002E-3</v>
      </c>
      <c r="G23" s="29">
        <f t="shared" si="1"/>
        <v>1.06</v>
      </c>
      <c r="R23" s="41" t="s">
        <v>52</v>
      </c>
      <c r="S23" s="41"/>
    </row>
    <row r="24" spans="1:19" x14ac:dyDescent="0.5">
      <c r="C24" s="34">
        <v>24.55</v>
      </c>
      <c r="D24" s="34">
        <f t="shared" si="0"/>
        <v>11.05</v>
      </c>
      <c r="E24" s="34">
        <v>2.12</v>
      </c>
      <c r="F24" s="29">
        <f t="shared" si="2"/>
        <v>1.1050000000000001E-3</v>
      </c>
      <c r="G24" s="29">
        <f t="shared" si="1"/>
        <v>1.105</v>
      </c>
      <c r="R24" s="18" t="s">
        <v>32</v>
      </c>
      <c r="S24" s="18" t="s">
        <v>33</v>
      </c>
    </row>
    <row r="25" spans="1:19" x14ac:dyDescent="0.5">
      <c r="C25" s="34">
        <v>24.99</v>
      </c>
      <c r="D25" s="34">
        <f t="shared" si="0"/>
        <v>11.489999999999998</v>
      </c>
      <c r="E25" s="34">
        <v>2.13</v>
      </c>
      <c r="F25" s="29">
        <f t="shared" si="2"/>
        <v>1.1489999999999998E-3</v>
      </c>
      <c r="G25" s="29">
        <f t="shared" si="1"/>
        <v>1.1489999999999998</v>
      </c>
      <c r="R25">
        <v>4.8109999999999999</v>
      </c>
      <c r="S25">
        <v>10.67</v>
      </c>
    </row>
    <row r="26" spans="1:19" x14ac:dyDescent="0.5">
      <c r="C26" s="34">
        <v>25.51</v>
      </c>
      <c r="D26" s="34">
        <f t="shared" si="0"/>
        <v>12.010000000000002</v>
      </c>
      <c r="E26" s="34">
        <v>2.14</v>
      </c>
      <c r="F26" s="29">
        <f t="shared" si="2"/>
        <v>1.2010000000000002E-3</v>
      </c>
      <c r="G26" s="29">
        <f t="shared" si="1"/>
        <v>1.2010000000000003</v>
      </c>
    </row>
    <row r="27" spans="1:19" x14ac:dyDescent="0.5">
      <c r="C27" s="34">
        <v>26.01</v>
      </c>
      <c r="D27" s="34">
        <f t="shared" si="0"/>
        <v>12.510000000000002</v>
      </c>
      <c r="E27" s="34">
        <v>2.16</v>
      </c>
      <c r="F27" s="29">
        <f t="shared" si="2"/>
        <v>1.2510000000000004E-3</v>
      </c>
      <c r="G27" s="29">
        <f t="shared" si="1"/>
        <v>1.2510000000000003</v>
      </c>
    </row>
    <row r="28" spans="1:19" x14ac:dyDescent="0.5">
      <c r="C28" s="34">
        <v>26.5</v>
      </c>
      <c r="D28" s="34">
        <f t="shared" si="0"/>
        <v>13</v>
      </c>
      <c r="E28" s="34">
        <v>2.1800000000000002</v>
      </c>
      <c r="F28" s="29">
        <f t="shared" si="2"/>
        <v>1.2999999999999999E-3</v>
      </c>
      <c r="G28" s="29">
        <f t="shared" si="1"/>
        <v>1.2999999999999998</v>
      </c>
      <c r="R28" s="40" t="s">
        <v>53</v>
      </c>
      <c r="S28" s="40"/>
    </row>
    <row r="29" spans="1:19" x14ac:dyDescent="0.5">
      <c r="C29" s="34">
        <v>27.01</v>
      </c>
      <c r="D29" s="34">
        <f t="shared" si="0"/>
        <v>13.510000000000002</v>
      </c>
      <c r="E29" s="34">
        <v>2.2000000000000002</v>
      </c>
      <c r="F29" s="29">
        <f t="shared" si="2"/>
        <v>1.3510000000000002E-3</v>
      </c>
      <c r="G29" s="29">
        <f t="shared" si="1"/>
        <v>1.3510000000000002</v>
      </c>
      <c r="R29" s="18" t="s">
        <v>32</v>
      </c>
      <c r="S29" s="18" t="s">
        <v>33</v>
      </c>
    </row>
    <row r="30" spans="1:19" x14ac:dyDescent="0.5">
      <c r="C30" s="29">
        <v>27.45</v>
      </c>
      <c r="D30" s="29">
        <f t="shared" si="0"/>
        <v>13.95</v>
      </c>
      <c r="E30" s="29">
        <v>2.21</v>
      </c>
      <c r="F30" s="29">
        <f t="shared" si="2"/>
        <v>1.395E-3</v>
      </c>
      <c r="G30" s="29">
        <f t="shared" si="1"/>
        <v>1.395</v>
      </c>
      <c r="R30">
        <v>4.3419999999999996</v>
      </c>
      <c r="S30">
        <v>9.74</v>
      </c>
    </row>
    <row r="31" spans="1:19" x14ac:dyDescent="0.5">
      <c r="C31" s="29">
        <v>28.08</v>
      </c>
      <c r="D31" s="29">
        <f t="shared" si="0"/>
        <v>14.579999999999998</v>
      </c>
      <c r="E31" s="29">
        <v>2.23</v>
      </c>
      <c r="F31" s="29">
        <f t="shared" si="2"/>
        <v>1.4579999999999999E-3</v>
      </c>
      <c r="G31" s="29">
        <f t="shared" si="1"/>
        <v>1.4579999999999997</v>
      </c>
    </row>
    <row r="32" spans="1:19" x14ac:dyDescent="0.5">
      <c r="C32" s="29">
        <v>28.61</v>
      </c>
      <c r="D32" s="29">
        <f t="shared" si="0"/>
        <v>15.11</v>
      </c>
      <c r="E32" s="29">
        <v>2.2599999999999998</v>
      </c>
      <c r="F32" s="29">
        <f t="shared" si="2"/>
        <v>1.5110000000000002E-3</v>
      </c>
      <c r="G32" s="29">
        <f t="shared" si="1"/>
        <v>1.5110000000000001</v>
      </c>
    </row>
    <row r="33" spans="3:7" x14ac:dyDescent="0.5">
      <c r="C33" s="29">
        <v>29.02</v>
      </c>
      <c r="D33" s="29">
        <f t="shared" si="0"/>
        <v>15.52</v>
      </c>
      <c r="E33" s="29">
        <v>2.27</v>
      </c>
      <c r="F33" s="29">
        <f t="shared" si="2"/>
        <v>1.552E-3</v>
      </c>
      <c r="G33" s="29">
        <f t="shared" si="1"/>
        <v>1.552</v>
      </c>
    </row>
    <row r="34" spans="3:7" x14ac:dyDescent="0.5">
      <c r="C34" s="29">
        <v>29.5</v>
      </c>
      <c r="D34" s="29">
        <f t="shared" ref="D34:D65" si="3">C34-$B$1</f>
        <v>16</v>
      </c>
      <c r="E34" s="29">
        <v>2.29</v>
      </c>
      <c r="F34" s="29">
        <f t="shared" si="2"/>
        <v>1.6000000000000001E-3</v>
      </c>
      <c r="G34" s="29">
        <f t="shared" ref="G34:G65" si="4">F34/$B$6</f>
        <v>1.6</v>
      </c>
    </row>
    <row r="35" spans="3:7" x14ac:dyDescent="0.5">
      <c r="C35" s="29">
        <v>30.05</v>
      </c>
      <c r="D35" s="29">
        <f t="shared" si="3"/>
        <v>16.55</v>
      </c>
      <c r="E35" s="29">
        <v>2.31</v>
      </c>
      <c r="F35" s="29">
        <f t="shared" ref="F35:F66" si="5">(D35/1000)*($B$3)</f>
        <v>1.6550000000000002E-3</v>
      </c>
      <c r="G35" s="29">
        <f t="shared" si="4"/>
        <v>1.6550000000000002</v>
      </c>
    </row>
    <row r="36" spans="3:7" x14ac:dyDescent="0.5">
      <c r="C36" s="29">
        <v>30.54</v>
      </c>
      <c r="D36" s="29">
        <f t="shared" si="3"/>
        <v>17.04</v>
      </c>
      <c r="E36" s="29">
        <v>2.33</v>
      </c>
      <c r="F36" s="29">
        <f t="shared" si="5"/>
        <v>1.704E-3</v>
      </c>
      <c r="G36" s="29">
        <f t="shared" si="4"/>
        <v>1.704</v>
      </c>
    </row>
    <row r="37" spans="3:7" x14ac:dyDescent="0.5">
      <c r="C37" s="29">
        <v>31.01</v>
      </c>
      <c r="D37" s="29">
        <f t="shared" si="3"/>
        <v>17.510000000000002</v>
      </c>
      <c r="E37" s="29">
        <v>2.35</v>
      </c>
      <c r="F37" s="29">
        <f t="shared" si="5"/>
        <v>1.7510000000000002E-3</v>
      </c>
      <c r="G37" s="29">
        <f t="shared" si="4"/>
        <v>1.7510000000000001</v>
      </c>
    </row>
    <row r="38" spans="3:7" x14ac:dyDescent="0.5">
      <c r="C38" s="29">
        <v>31.49</v>
      </c>
      <c r="D38" s="29">
        <f t="shared" si="3"/>
        <v>17.989999999999998</v>
      </c>
      <c r="E38" s="29">
        <v>2.38</v>
      </c>
      <c r="F38" s="29">
        <f t="shared" si="5"/>
        <v>1.799E-3</v>
      </c>
      <c r="G38" s="29">
        <f t="shared" si="4"/>
        <v>1.7989999999999999</v>
      </c>
    </row>
    <row r="39" spans="3:7" x14ac:dyDescent="0.5">
      <c r="C39" s="34">
        <v>32</v>
      </c>
      <c r="D39" s="34">
        <f t="shared" si="3"/>
        <v>18.5</v>
      </c>
      <c r="E39" s="34">
        <v>2.4</v>
      </c>
      <c r="F39" s="29">
        <f t="shared" si="5"/>
        <v>1.8500000000000001E-3</v>
      </c>
      <c r="G39" s="29">
        <f t="shared" si="4"/>
        <v>1.85</v>
      </c>
    </row>
    <row r="40" spans="3:7" x14ac:dyDescent="0.5">
      <c r="C40" s="34">
        <v>32.549999999999997</v>
      </c>
      <c r="D40" s="34">
        <f t="shared" si="3"/>
        <v>19.049999999999997</v>
      </c>
      <c r="E40" s="34">
        <v>2.4300000000000002</v>
      </c>
      <c r="F40" s="29">
        <f t="shared" si="5"/>
        <v>1.9049999999999998E-3</v>
      </c>
      <c r="G40" s="29">
        <f t="shared" si="4"/>
        <v>1.9049999999999998</v>
      </c>
    </row>
    <row r="41" spans="3:7" x14ac:dyDescent="0.5">
      <c r="C41" s="34">
        <v>33.08</v>
      </c>
      <c r="D41" s="34">
        <f t="shared" si="3"/>
        <v>19.579999999999998</v>
      </c>
      <c r="E41" s="34">
        <v>2.4500000000000002</v>
      </c>
      <c r="F41" s="29">
        <f t="shared" si="5"/>
        <v>1.9579999999999997E-3</v>
      </c>
      <c r="G41" s="29">
        <f t="shared" si="4"/>
        <v>1.9579999999999997</v>
      </c>
    </row>
    <row r="42" spans="3:7" x14ac:dyDescent="0.5">
      <c r="C42" s="34">
        <v>33.520000000000003</v>
      </c>
      <c r="D42" s="34">
        <f t="shared" si="3"/>
        <v>20.020000000000003</v>
      </c>
      <c r="E42" s="34">
        <v>2.48</v>
      </c>
      <c r="F42" s="29">
        <f t="shared" si="5"/>
        <v>2.0020000000000003E-3</v>
      </c>
      <c r="G42" s="29">
        <f t="shared" si="4"/>
        <v>2.0020000000000002</v>
      </c>
    </row>
    <row r="43" spans="3:7" x14ac:dyDescent="0.5">
      <c r="C43" s="34">
        <v>34</v>
      </c>
      <c r="D43" s="34">
        <f t="shared" si="3"/>
        <v>20.5</v>
      </c>
      <c r="E43" s="34">
        <v>2.5099999999999998</v>
      </c>
      <c r="F43" s="29">
        <f t="shared" si="5"/>
        <v>2.0500000000000002E-3</v>
      </c>
      <c r="G43" s="29">
        <f t="shared" si="4"/>
        <v>2.0500000000000003</v>
      </c>
    </row>
    <row r="44" spans="3:7" x14ac:dyDescent="0.5">
      <c r="C44" s="34">
        <v>34.5</v>
      </c>
      <c r="D44" s="34">
        <f t="shared" si="3"/>
        <v>21</v>
      </c>
      <c r="E44" s="34">
        <v>2.54</v>
      </c>
      <c r="F44" s="29">
        <f t="shared" si="5"/>
        <v>2.1000000000000003E-3</v>
      </c>
      <c r="G44" s="29">
        <f t="shared" si="4"/>
        <v>2.1</v>
      </c>
    </row>
    <row r="45" spans="3:7" x14ac:dyDescent="0.5">
      <c r="C45" s="34">
        <v>35.049999999999997</v>
      </c>
      <c r="D45" s="34">
        <f t="shared" si="3"/>
        <v>21.549999999999997</v>
      </c>
      <c r="E45" s="34">
        <v>2.57</v>
      </c>
      <c r="F45" s="29">
        <f t="shared" si="5"/>
        <v>2.1549999999999998E-3</v>
      </c>
      <c r="G45" s="29">
        <f t="shared" si="4"/>
        <v>2.1549999999999998</v>
      </c>
    </row>
    <row r="46" spans="3:7" x14ac:dyDescent="0.5">
      <c r="C46" s="34">
        <v>35.56</v>
      </c>
      <c r="D46" s="34">
        <f t="shared" si="3"/>
        <v>22.060000000000002</v>
      </c>
      <c r="E46" s="34">
        <v>2.6</v>
      </c>
      <c r="F46" s="29">
        <f t="shared" si="5"/>
        <v>2.2060000000000005E-3</v>
      </c>
      <c r="G46" s="29">
        <f t="shared" si="4"/>
        <v>2.2060000000000004</v>
      </c>
    </row>
    <row r="47" spans="3:7" x14ac:dyDescent="0.5">
      <c r="C47" s="34">
        <v>36.1</v>
      </c>
      <c r="D47" s="34">
        <f t="shared" si="3"/>
        <v>22.6</v>
      </c>
      <c r="E47" s="34">
        <v>2.64</v>
      </c>
      <c r="F47" s="29">
        <f t="shared" si="5"/>
        <v>2.2600000000000003E-3</v>
      </c>
      <c r="G47" s="29">
        <f t="shared" si="4"/>
        <v>2.2600000000000002</v>
      </c>
    </row>
    <row r="48" spans="3:7" x14ac:dyDescent="0.5">
      <c r="C48" s="34">
        <v>36.5</v>
      </c>
      <c r="D48" s="34">
        <f t="shared" si="3"/>
        <v>23</v>
      </c>
      <c r="E48" s="34">
        <v>2.67</v>
      </c>
      <c r="F48" s="29">
        <f t="shared" si="5"/>
        <v>2.3E-3</v>
      </c>
      <c r="G48" s="29">
        <f t="shared" si="4"/>
        <v>2.2999999999999998</v>
      </c>
    </row>
    <row r="49" spans="3:7" x14ac:dyDescent="0.5">
      <c r="C49" s="34">
        <v>37.01</v>
      </c>
      <c r="D49" s="34">
        <f t="shared" si="3"/>
        <v>23.509999999999998</v>
      </c>
      <c r="E49" s="34">
        <v>2.71</v>
      </c>
      <c r="F49" s="29">
        <f t="shared" si="5"/>
        <v>2.3510000000000002E-3</v>
      </c>
      <c r="G49" s="29">
        <f t="shared" si="4"/>
        <v>2.351</v>
      </c>
    </row>
    <row r="50" spans="3:7" x14ac:dyDescent="0.5">
      <c r="C50" s="34">
        <v>37.479999999999997</v>
      </c>
      <c r="D50" s="34">
        <f t="shared" si="3"/>
        <v>23.979999999999997</v>
      </c>
      <c r="E50" s="34">
        <v>2.75</v>
      </c>
      <c r="F50" s="29">
        <f t="shared" si="5"/>
        <v>2.398E-3</v>
      </c>
      <c r="G50" s="29">
        <f t="shared" si="4"/>
        <v>2.3979999999999997</v>
      </c>
    </row>
    <row r="51" spans="3:7" x14ac:dyDescent="0.5">
      <c r="C51" s="34">
        <v>38.090000000000003</v>
      </c>
      <c r="D51" s="34">
        <f t="shared" si="3"/>
        <v>24.590000000000003</v>
      </c>
      <c r="E51" s="34">
        <v>2.8</v>
      </c>
      <c r="F51" s="29">
        <f t="shared" si="5"/>
        <v>2.4590000000000007E-3</v>
      </c>
      <c r="G51" s="29">
        <f t="shared" si="4"/>
        <v>2.4590000000000005</v>
      </c>
    </row>
    <row r="52" spans="3:7" x14ac:dyDescent="0.5">
      <c r="C52" s="34">
        <v>38.51</v>
      </c>
      <c r="D52" s="34">
        <f t="shared" si="3"/>
        <v>25.009999999999998</v>
      </c>
      <c r="E52" s="34">
        <v>2.84</v>
      </c>
      <c r="F52" s="29">
        <f t="shared" si="5"/>
        <v>2.5009999999999998E-3</v>
      </c>
      <c r="G52" s="29">
        <f t="shared" si="4"/>
        <v>2.5009999999999999</v>
      </c>
    </row>
    <row r="53" spans="3:7" x14ac:dyDescent="0.5">
      <c r="C53" s="34">
        <v>39.1</v>
      </c>
      <c r="D53" s="34">
        <f t="shared" si="3"/>
        <v>25.6</v>
      </c>
      <c r="E53" s="34">
        <v>2.9</v>
      </c>
      <c r="F53" s="29">
        <f t="shared" si="5"/>
        <v>2.5600000000000002E-3</v>
      </c>
      <c r="G53" s="29">
        <f t="shared" si="4"/>
        <v>2.56</v>
      </c>
    </row>
    <row r="54" spans="3:7" x14ac:dyDescent="0.5">
      <c r="C54" s="34">
        <v>39.49</v>
      </c>
      <c r="D54" s="34">
        <f t="shared" si="3"/>
        <v>25.990000000000002</v>
      </c>
      <c r="E54" s="34">
        <v>2.95</v>
      </c>
      <c r="F54" s="29">
        <f t="shared" si="5"/>
        <v>2.5990000000000006E-3</v>
      </c>
      <c r="G54" s="29">
        <f t="shared" si="4"/>
        <v>2.5990000000000006</v>
      </c>
    </row>
    <row r="55" spans="3:7" x14ac:dyDescent="0.5">
      <c r="C55" s="34">
        <v>40</v>
      </c>
      <c r="D55" s="34">
        <f t="shared" si="3"/>
        <v>26.5</v>
      </c>
      <c r="E55" s="34">
        <v>3.05</v>
      </c>
      <c r="F55" s="29">
        <f t="shared" si="5"/>
        <v>2.65E-3</v>
      </c>
      <c r="G55" s="29">
        <f t="shared" si="4"/>
        <v>2.65</v>
      </c>
    </row>
    <row r="56" spans="3:7" x14ac:dyDescent="0.5">
      <c r="C56" s="34">
        <v>40.51</v>
      </c>
      <c r="D56" s="34">
        <f t="shared" si="3"/>
        <v>27.009999999999998</v>
      </c>
      <c r="E56" s="34">
        <v>3.08</v>
      </c>
      <c r="F56" s="29">
        <f t="shared" si="5"/>
        <v>2.7010000000000003E-3</v>
      </c>
      <c r="G56" s="29">
        <f t="shared" si="4"/>
        <v>2.7010000000000001</v>
      </c>
    </row>
    <row r="57" spans="3:7" x14ac:dyDescent="0.5">
      <c r="C57" s="34">
        <v>40.94</v>
      </c>
      <c r="D57" s="34">
        <f t="shared" si="3"/>
        <v>27.439999999999998</v>
      </c>
      <c r="E57" s="34">
        <v>3.16</v>
      </c>
      <c r="F57" s="29">
        <f t="shared" si="5"/>
        <v>2.7439999999999999E-3</v>
      </c>
      <c r="G57" s="29">
        <f t="shared" si="4"/>
        <v>2.7439999999999998</v>
      </c>
    </row>
    <row r="58" spans="3:7" x14ac:dyDescent="0.5">
      <c r="C58" s="34">
        <v>41.42</v>
      </c>
      <c r="D58" s="34">
        <f t="shared" si="3"/>
        <v>27.92</v>
      </c>
      <c r="E58" s="34">
        <v>3.24</v>
      </c>
      <c r="F58" s="29">
        <f t="shared" si="5"/>
        <v>2.7920000000000002E-3</v>
      </c>
      <c r="G58" s="29">
        <f t="shared" si="4"/>
        <v>2.7920000000000003</v>
      </c>
    </row>
    <row r="59" spans="3:7" x14ac:dyDescent="0.5">
      <c r="C59" s="34">
        <v>42.01</v>
      </c>
      <c r="D59" s="34">
        <f t="shared" si="3"/>
        <v>28.509999999999998</v>
      </c>
      <c r="E59" s="34">
        <v>3.32</v>
      </c>
      <c r="F59" s="29">
        <f t="shared" si="5"/>
        <v>2.8509999999999998E-3</v>
      </c>
      <c r="G59" s="29">
        <f t="shared" si="4"/>
        <v>2.8509999999999995</v>
      </c>
    </row>
    <row r="60" spans="3:7" x14ac:dyDescent="0.5">
      <c r="C60" s="34">
        <v>43.02</v>
      </c>
      <c r="D60" s="34">
        <f t="shared" si="3"/>
        <v>29.520000000000003</v>
      </c>
      <c r="E60" s="34">
        <v>3.62</v>
      </c>
      <c r="F60" s="29">
        <f t="shared" si="5"/>
        <v>2.9520000000000006E-3</v>
      </c>
      <c r="G60" s="29">
        <f t="shared" si="4"/>
        <v>2.9520000000000004</v>
      </c>
    </row>
    <row r="61" spans="3:7" x14ac:dyDescent="0.5">
      <c r="C61" s="34">
        <v>44.1</v>
      </c>
      <c r="D61" s="34">
        <f t="shared" si="3"/>
        <v>30.6</v>
      </c>
      <c r="E61" s="34">
        <v>3.75</v>
      </c>
      <c r="F61" s="29">
        <f t="shared" si="5"/>
        <v>3.0600000000000002E-3</v>
      </c>
      <c r="G61" s="29">
        <f t="shared" si="4"/>
        <v>3.06</v>
      </c>
    </row>
    <row r="62" spans="3:7" x14ac:dyDescent="0.5">
      <c r="C62" s="34">
        <v>44.49</v>
      </c>
      <c r="D62" s="34">
        <f t="shared" si="3"/>
        <v>30.990000000000002</v>
      </c>
      <c r="E62" s="34">
        <v>3.82</v>
      </c>
      <c r="F62" s="29">
        <f t="shared" si="5"/>
        <v>3.0990000000000006E-3</v>
      </c>
      <c r="G62" s="29">
        <f t="shared" si="4"/>
        <v>3.0990000000000006</v>
      </c>
    </row>
    <row r="63" spans="3:7" x14ac:dyDescent="0.5">
      <c r="C63" s="34">
        <v>45.08</v>
      </c>
      <c r="D63" s="34">
        <f t="shared" si="3"/>
        <v>31.58</v>
      </c>
      <c r="E63" s="34">
        <v>3.94</v>
      </c>
      <c r="F63" s="29">
        <f t="shared" si="5"/>
        <v>3.1579999999999998E-3</v>
      </c>
      <c r="G63" s="29">
        <f t="shared" si="4"/>
        <v>3.1579999999999999</v>
      </c>
    </row>
    <row r="64" spans="3:7" x14ac:dyDescent="0.5">
      <c r="C64" s="34">
        <v>45.51</v>
      </c>
      <c r="D64" s="34">
        <f t="shared" si="3"/>
        <v>32.01</v>
      </c>
      <c r="E64" s="34">
        <v>4.01</v>
      </c>
      <c r="F64" s="29">
        <f t="shared" si="5"/>
        <v>3.2009999999999999E-3</v>
      </c>
      <c r="G64" s="29">
        <f t="shared" si="4"/>
        <v>3.2009999999999996</v>
      </c>
    </row>
    <row r="65" spans="1:7" x14ac:dyDescent="0.5">
      <c r="C65" s="34">
        <v>45.98</v>
      </c>
      <c r="D65" s="34">
        <f t="shared" si="3"/>
        <v>32.479999999999997</v>
      </c>
      <c r="E65" s="34">
        <v>4.08</v>
      </c>
      <c r="F65" s="29">
        <f t="shared" si="5"/>
        <v>3.2479999999999996E-3</v>
      </c>
      <c r="G65" s="29">
        <f t="shared" si="4"/>
        <v>3.2479999999999993</v>
      </c>
    </row>
    <row r="66" spans="1:7" x14ac:dyDescent="0.5">
      <c r="C66" s="34">
        <v>46.51</v>
      </c>
      <c r="D66" s="34">
        <f t="shared" ref="D66:D97" si="6">C66-$B$1</f>
        <v>33.01</v>
      </c>
      <c r="E66" s="34">
        <v>4.17</v>
      </c>
      <c r="F66" s="29">
        <f t="shared" si="5"/>
        <v>3.3010000000000001E-3</v>
      </c>
      <c r="G66" s="29">
        <f t="shared" ref="G66:G97" si="7">F66/$B$6</f>
        <v>3.3010000000000002</v>
      </c>
    </row>
    <row r="67" spans="1:7" x14ac:dyDescent="0.5">
      <c r="C67" s="34">
        <v>47</v>
      </c>
      <c r="D67" s="34">
        <f t="shared" si="6"/>
        <v>33.5</v>
      </c>
      <c r="E67" s="34">
        <v>4.26</v>
      </c>
      <c r="F67" s="29">
        <f t="shared" ref="F67:F103" si="8">(D67/1000)*($B$3)</f>
        <v>3.3500000000000005E-3</v>
      </c>
      <c r="G67" s="29">
        <f t="shared" si="7"/>
        <v>3.3500000000000005</v>
      </c>
    </row>
    <row r="68" spans="1:7" x14ac:dyDescent="0.5">
      <c r="C68" s="34">
        <v>47.5</v>
      </c>
      <c r="D68" s="34">
        <f t="shared" si="6"/>
        <v>34</v>
      </c>
      <c r="E68" s="34">
        <v>4.34</v>
      </c>
      <c r="F68" s="29">
        <f t="shared" si="8"/>
        <v>3.4000000000000002E-3</v>
      </c>
      <c r="G68" s="29">
        <f t="shared" si="7"/>
        <v>3.4000000000000004</v>
      </c>
    </row>
    <row r="69" spans="1:7" x14ac:dyDescent="0.5">
      <c r="C69" s="34">
        <v>47.98</v>
      </c>
      <c r="D69" s="34">
        <f t="shared" si="6"/>
        <v>34.479999999999997</v>
      </c>
      <c r="E69" s="34">
        <v>4.43</v>
      </c>
      <c r="F69" s="29">
        <f t="shared" si="8"/>
        <v>3.4479999999999997E-3</v>
      </c>
      <c r="G69" s="29">
        <f t="shared" si="7"/>
        <v>3.4479999999999995</v>
      </c>
    </row>
    <row r="70" spans="1:7" x14ac:dyDescent="0.5">
      <c r="C70" s="34">
        <v>48.52</v>
      </c>
      <c r="D70" s="34">
        <f t="shared" si="6"/>
        <v>35.020000000000003</v>
      </c>
      <c r="E70" s="34">
        <v>4.55</v>
      </c>
      <c r="F70" s="29">
        <f t="shared" si="8"/>
        <v>3.5020000000000003E-3</v>
      </c>
      <c r="G70" s="29">
        <f t="shared" si="7"/>
        <v>3.5020000000000002</v>
      </c>
    </row>
    <row r="71" spans="1:7" x14ac:dyDescent="0.5">
      <c r="C71" s="34">
        <v>48.99</v>
      </c>
      <c r="D71" s="34">
        <f t="shared" si="6"/>
        <v>35.49</v>
      </c>
      <c r="E71" s="34">
        <v>4.63</v>
      </c>
      <c r="F71" s="29">
        <f t="shared" si="8"/>
        <v>3.5490000000000001E-3</v>
      </c>
      <c r="G71" s="29">
        <f t="shared" si="7"/>
        <v>3.5489999999999999</v>
      </c>
    </row>
    <row r="72" spans="1:7" ht="16.149999999999999" thickBot="1" x14ac:dyDescent="0.55000000000000004">
      <c r="C72" s="34">
        <v>49.51</v>
      </c>
      <c r="D72" s="34">
        <f t="shared" si="6"/>
        <v>36.01</v>
      </c>
      <c r="E72" s="34">
        <v>4.75</v>
      </c>
      <c r="F72" s="29">
        <f t="shared" si="8"/>
        <v>3.601E-3</v>
      </c>
      <c r="G72" s="29">
        <f t="shared" si="7"/>
        <v>3.601</v>
      </c>
    </row>
    <row r="73" spans="1:7" ht="16.149999999999999" thickBot="1" x14ac:dyDescent="0.55000000000000004">
      <c r="A73" s="36" t="s">
        <v>54</v>
      </c>
      <c r="B73" s="37">
        <v>29.1</v>
      </c>
      <c r="C73" s="34">
        <v>29.1</v>
      </c>
      <c r="D73" s="34">
        <f t="shared" ref="D73:D103" si="9">$D$72 +C73-$B$73</f>
        <v>36.01</v>
      </c>
      <c r="E73" s="34">
        <v>4.76</v>
      </c>
      <c r="F73" s="29">
        <f t="shared" si="8"/>
        <v>3.601E-3</v>
      </c>
      <c r="G73" s="29">
        <f t="shared" si="7"/>
        <v>3.601</v>
      </c>
    </row>
    <row r="74" spans="1:7" x14ac:dyDescent="0.5">
      <c r="C74" s="34">
        <v>29.4</v>
      </c>
      <c r="D74" s="34">
        <f t="shared" si="9"/>
        <v>36.309999999999995</v>
      </c>
      <c r="E74" s="34">
        <v>4.87</v>
      </c>
      <c r="F74" s="29">
        <f t="shared" si="8"/>
        <v>3.6309999999999997E-3</v>
      </c>
      <c r="G74" s="29">
        <f t="shared" si="7"/>
        <v>3.6309999999999998</v>
      </c>
    </row>
    <row r="75" spans="1:7" x14ac:dyDescent="0.5">
      <c r="C75" s="34">
        <v>29.99</v>
      </c>
      <c r="D75" s="34">
        <f t="shared" si="9"/>
        <v>36.9</v>
      </c>
      <c r="E75" s="34">
        <v>5.0199999999999996</v>
      </c>
      <c r="F75" s="29">
        <f t="shared" si="8"/>
        <v>3.6899999999999997E-3</v>
      </c>
      <c r="G75" s="29">
        <f t="shared" si="7"/>
        <v>3.6899999999999995</v>
      </c>
    </row>
    <row r="76" spans="1:7" x14ac:dyDescent="0.5">
      <c r="C76" s="34">
        <v>30.5</v>
      </c>
      <c r="D76" s="34">
        <f t="shared" si="9"/>
        <v>37.409999999999989</v>
      </c>
      <c r="E76" s="34">
        <v>5.22</v>
      </c>
      <c r="F76" s="29">
        <f t="shared" si="8"/>
        <v>3.7409999999999995E-3</v>
      </c>
      <c r="G76" s="29">
        <f t="shared" si="7"/>
        <v>3.7409999999999997</v>
      </c>
    </row>
    <row r="77" spans="1:7" x14ac:dyDescent="0.5">
      <c r="C77" s="34">
        <v>30.99</v>
      </c>
      <c r="D77" s="34">
        <f t="shared" si="9"/>
        <v>37.9</v>
      </c>
      <c r="E77" s="34">
        <v>5.54</v>
      </c>
      <c r="F77" s="29">
        <f t="shared" si="8"/>
        <v>3.79E-3</v>
      </c>
      <c r="G77" s="29">
        <f t="shared" si="7"/>
        <v>3.79</v>
      </c>
    </row>
    <row r="78" spans="1:7" x14ac:dyDescent="0.5">
      <c r="C78" s="34">
        <v>31.49</v>
      </c>
      <c r="D78" s="34">
        <f t="shared" si="9"/>
        <v>38.4</v>
      </c>
      <c r="E78" s="34">
        <v>7.47</v>
      </c>
      <c r="F78" s="29">
        <f t="shared" si="8"/>
        <v>3.8399999999999997E-3</v>
      </c>
      <c r="G78" s="29">
        <f t="shared" si="7"/>
        <v>3.8399999999999994</v>
      </c>
    </row>
    <row r="79" spans="1:7" x14ac:dyDescent="0.5">
      <c r="C79" s="34">
        <v>31.95</v>
      </c>
      <c r="D79" s="34">
        <f t="shared" si="9"/>
        <v>38.859999999999992</v>
      </c>
      <c r="E79" s="34">
        <v>8.51</v>
      </c>
      <c r="F79" s="29">
        <f t="shared" si="8"/>
        <v>3.8859999999999993E-3</v>
      </c>
      <c r="G79" s="29">
        <f t="shared" si="7"/>
        <v>3.8859999999999992</v>
      </c>
    </row>
    <row r="80" spans="1:7" x14ac:dyDescent="0.5">
      <c r="C80" s="34">
        <v>32.619999999999997</v>
      </c>
      <c r="D80" s="34">
        <f t="shared" si="9"/>
        <v>39.529999999999994</v>
      </c>
      <c r="E80" s="34">
        <v>8.93</v>
      </c>
      <c r="F80" s="29">
        <f t="shared" si="8"/>
        <v>3.9529999999999999E-3</v>
      </c>
      <c r="G80" s="29">
        <f t="shared" si="7"/>
        <v>3.9529999999999998</v>
      </c>
    </row>
    <row r="81" spans="3:7" x14ac:dyDescent="0.5">
      <c r="C81" s="34">
        <v>33.090000000000003</v>
      </c>
      <c r="D81" s="34">
        <f t="shared" si="9"/>
        <v>39.999999999999993</v>
      </c>
      <c r="E81" s="34">
        <v>9.0399999999999991</v>
      </c>
      <c r="F81" s="29">
        <f t="shared" si="8"/>
        <v>3.9999999999999992E-3</v>
      </c>
      <c r="G81" s="29">
        <f t="shared" si="7"/>
        <v>3.9999999999999991</v>
      </c>
    </row>
    <row r="82" spans="3:7" x14ac:dyDescent="0.5">
      <c r="C82" s="34">
        <v>33.479999999999997</v>
      </c>
      <c r="D82" s="34">
        <f t="shared" si="9"/>
        <v>40.389999999999993</v>
      </c>
      <c r="E82" s="34">
        <v>9.15</v>
      </c>
      <c r="F82" s="29">
        <f t="shared" si="8"/>
        <v>4.0390000000000001E-3</v>
      </c>
      <c r="G82" s="29">
        <f t="shared" si="7"/>
        <v>4.0389999999999997</v>
      </c>
    </row>
    <row r="83" spans="3:7" x14ac:dyDescent="0.5">
      <c r="C83" s="34">
        <v>33.99</v>
      </c>
      <c r="D83" s="34">
        <f t="shared" si="9"/>
        <v>40.9</v>
      </c>
      <c r="E83" s="34">
        <v>9.2799999999999994</v>
      </c>
      <c r="F83" s="29">
        <f t="shared" si="8"/>
        <v>4.0899999999999999E-3</v>
      </c>
      <c r="G83" s="29">
        <f t="shared" si="7"/>
        <v>4.09</v>
      </c>
    </row>
    <row r="84" spans="3:7" x14ac:dyDescent="0.5">
      <c r="C84" s="34">
        <v>34.42</v>
      </c>
      <c r="D84" s="34">
        <f t="shared" si="9"/>
        <v>41.330000000000005</v>
      </c>
      <c r="E84" s="34">
        <v>9.3800000000000008</v>
      </c>
      <c r="F84" s="29">
        <f t="shared" si="8"/>
        <v>4.1330000000000004E-3</v>
      </c>
      <c r="G84" s="29">
        <f t="shared" si="7"/>
        <v>4.133</v>
      </c>
    </row>
    <row r="85" spans="3:7" x14ac:dyDescent="0.5">
      <c r="C85" s="34">
        <v>34.979999999999997</v>
      </c>
      <c r="D85" s="34">
        <f t="shared" si="9"/>
        <v>41.889999999999993</v>
      </c>
      <c r="E85" s="34">
        <v>9.4700000000000006</v>
      </c>
      <c r="F85" s="29">
        <f t="shared" si="8"/>
        <v>4.189E-3</v>
      </c>
      <c r="G85" s="29">
        <f t="shared" si="7"/>
        <v>4.1890000000000001</v>
      </c>
    </row>
    <row r="86" spans="3:7" x14ac:dyDescent="0.5">
      <c r="C86" s="34">
        <v>35.479999999999997</v>
      </c>
      <c r="D86" s="34">
        <f t="shared" si="9"/>
        <v>42.389999999999993</v>
      </c>
      <c r="E86" s="34">
        <v>9.57</v>
      </c>
      <c r="F86" s="29">
        <f t="shared" si="8"/>
        <v>4.2389999999999988E-3</v>
      </c>
      <c r="G86" s="29">
        <f t="shared" si="7"/>
        <v>4.238999999999999</v>
      </c>
    </row>
    <row r="87" spans="3:7" x14ac:dyDescent="0.5">
      <c r="C87" s="34">
        <v>36.020000000000003</v>
      </c>
      <c r="D87" s="34">
        <f t="shared" si="9"/>
        <v>42.93</v>
      </c>
      <c r="E87" s="34">
        <v>9.64</v>
      </c>
      <c r="F87" s="29">
        <f t="shared" si="8"/>
        <v>4.2930000000000008E-3</v>
      </c>
      <c r="G87" s="29">
        <f t="shared" si="7"/>
        <v>4.293000000000001</v>
      </c>
    </row>
    <row r="88" spans="3:7" x14ac:dyDescent="0.5">
      <c r="C88" s="34">
        <v>36.51</v>
      </c>
      <c r="D88" s="34">
        <f t="shared" si="9"/>
        <v>43.419999999999995</v>
      </c>
      <c r="E88" s="34">
        <v>9.74</v>
      </c>
      <c r="F88" s="29">
        <f t="shared" si="8"/>
        <v>4.3419999999999995E-3</v>
      </c>
      <c r="G88" s="29">
        <f t="shared" si="7"/>
        <v>4.3419999999999996</v>
      </c>
    </row>
    <row r="89" spans="3:7" x14ac:dyDescent="0.5">
      <c r="C89" s="34">
        <v>37</v>
      </c>
      <c r="D89" s="34">
        <f t="shared" si="9"/>
        <v>43.909999999999989</v>
      </c>
      <c r="E89" s="34">
        <v>9.82</v>
      </c>
      <c r="F89" s="29">
        <f t="shared" si="8"/>
        <v>4.3909999999999991E-3</v>
      </c>
      <c r="G89" s="29">
        <f t="shared" si="7"/>
        <v>4.3909999999999991</v>
      </c>
    </row>
    <row r="90" spans="3:7" x14ac:dyDescent="0.5">
      <c r="C90" s="34">
        <v>37.51</v>
      </c>
      <c r="D90" s="34">
        <f t="shared" si="9"/>
        <v>44.419999999999995</v>
      </c>
      <c r="E90" s="34">
        <v>9.89</v>
      </c>
      <c r="F90" s="29">
        <f t="shared" si="8"/>
        <v>4.4419999999999998E-3</v>
      </c>
      <c r="G90" s="29">
        <f t="shared" si="7"/>
        <v>4.4419999999999993</v>
      </c>
    </row>
    <row r="91" spans="3:7" x14ac:dyDescent="0.5">
      <c r="C91" s="34">
        <v>38.01</v>
      </c>
      <c r="D91" s="34">
        <f t="shared" si="9"/>
        <v>44.919999999999995</v>
      </c>
      <c r="E91" s="34">
        <v>9.98</v>
      </c>
      <c r="F91" s="29">
        <f t="shared" si="8"/>
        <v>4.4919999999999995E-3</v>
      </c>
      <c r="G91" s="29">
        <f t="shared" si="7"/>
        <v>4.4919999999999991</v>
      </c>
    </row>
    <row r="92" spans="3:7" x14ac:dyDescent="0.5">
      <c r="C92" s="34">
        <v>38.6</v>
      </c>
      <c r="D92" s="34">
        <f t="shared" si="9"/>
        <v>45.51</v>
      </c>
      <c r="E92" s="34">
        <v>10.07</v>
      </c>
      <c r="F92" s="29">
        <f t="shared" si="8"/>
        <v>4.5509999999999995E-3</v>
      </c>
      <c r="G92" s="29">
        <f t="shared" si="7"/>
        <v>4.5509999999999993</v>
      </c>
    </row>
    <row r="93" spans="3:7" x14ac:dyDescent="0.5">
      <c r="C93" s="34">
        <v>39.01</v>
      </c>
      <c r="D93" s="34">
        <f t="shared" si="9"/>
        <v>45.919999999999995</v>
      </c>
      <c r="E93" s="34">
        <v>10.15</v>
      </c>
      <c r="F93" s="29">
        <f t="shared" si="8"/>
        <v>4.5919999999999997E-3</v>
      </c>
      <c r="G93" s="29">
        <f t="shared" si="7"/>
        <v>4.5919999999999996</v>
      </c>
    </row>
    <row r="94" spans="3:7" x14ac:dyDescent="0.5">
      <c r="C94" s="34">
        <v>39.6</v>
      </c>
      <c r="D94" s="34">
        <f t="shared" si="9"/>
        <v>46.51</v>
      </c>
      <c r="E94" s="34">
        <v>10.25</v>
      </c>
      <c r="F94" s="29">
        <f t="shared" si="8"/>
        <v>4.6509999999999998E-3</v>
      </c>
      <c r="G94" s="29">
        <f t="shared" si="7"/>
        <v>4.6509999999999998</v>
      </c>
    </row>
    <row r="95" spans="3:7" x14ac:dyDescent="0.5">
      <c r="C95" s="34">
        <v>40.11</v>
      </c>
      <c r="D95" s="34">
        <f t="shared" si="9"/>
        <v>47.02</v>
      </c>
      <c r="E95" s="34">
        <v>10.36</v>
      </c>
      <c r="F95" s="29">
        <f t="shared" si="8"/>
        <v>4.7020000000000013E-3</v>
      </c>
      <c r="G95" s="29">
        <f t="shared" si="7"/>
        <v>4.7020000000000008</v>
      </c>
    </row>
    <row r="96" spans="3:7" x14ac:dyDescent="0.5">
      <c r="C96" s="34">
        <v>40.51</v>
      </c>
      <c r="D96" s="34">
        <f t="shared" si="9"/>
        <v>47.419999999999995</v>
      </c>
      <c r="E96" s="34">
        <v>10.44</v>
      </c>
      <c r="F96" s="29">
        <f t="shared" si="8"/>
        <v>4.7419999999999997E-3</v>
      </c>
      <c r="G96" s="29">
        <f t="shared" si="7"/>
        <v>4.742</v>
      </c>
    </row>
    <row r="97" spans="3:7" x14ac:dyDescent="0.5">
      <c r="C97" s="34">
        <v>41</v>
      </c>
      <c r="D97" s="34">
        <f t="shared" si="9"/>
        <v>47.909999999999989</v>
      </c>
      <c r="E97" s="34">
        <v>10.52</v>
      </c>
      <c r="F97" s="29">
        <f t="shared" si="8"/>
        <v>4.7909999999999993E-3</v>
      </c>
      <c r="G97" s="29">
        <f t="shared" si="7"/>
        <v>4.7909999999999995</v>
      </c>
    </row>
    <row r="98" spans="3:7" x14ac:dyDescent="0.5">
      <c r="C98" s="34">
        <v>41.2</v>
      </c>
      <c r="D98" s="34">
        <f t="shared" si="9"/>
        <v>48.110000000000007</v>
      </c>
      <c r="E98" s="34">
        <v>10.67</v>
      </c>
      <c r="F98" s="29">
        <f t="shared" si="8"/>
        <v>4.811000000000001E-3</v>
      </c>
      <c r="G98" s="29">
        <f t="shared" ref="G98:G129" si="10">F98/$B$6</f>
        <v>4.8110000000000008</v>
      </c>
    </row>
    <row r="99" spans="3:7" x14ac:dyDescent="0.5">
      <c r="C99" s="34">
        <v>42</v>
      </c>
      <c r="D99" s="34">
        <f t="shared" si="9"/>
        <v>48.909999999999989</v>
      </c>
      <c r="E99" s="34">
        <v>10.76</v>
      </c>
      <c r="F99" s="29">
        <f t="shared" si="8"/>
        <v>4.8909999999999995E-3</v>
      </c>
      <c r="G99" s="29">
        <f t="shared" si="10"/>
        <v>4.8909999999999991</v>
      </c>
    </row>
    <row r="100" spans="3:7" x14ac:dyDescent="0.5">
      <c r="C100" s="34">
        <v>42.61</v>
      </c>
      <c r="D100" s="34">
        <f t="shared" si="9"/>
        <v>49.52</v>
      </c>
      <c r="E100" s="34">
        <v>10.87</v>
      </c>
      <c r="F100" s="29">
        <f t="shared" si="8"/>
        <v>4.9520000000000007E-3</v>
      </c>
      <c r="G100" s="29">
        <f t="shared" si="10"/>
        <v>4.9520000000000008</v>
      </c>
    </row>
    <row r="101" spans="3:7" x14ac:dyDescent="0.5">
      <c r="C101" s="34">
        <v>43.02</v>
      </c>
      <c r="D101" s="34">
        <f t="shared" si="9"/>
        <v>49.93</v>
      </c>
      <c r="E101" s="34">
        <v>10.96</v>
      </c>
      <c r="F101" s="29">
        <f t="shared" si="8"/>
        <v>4.9930000000000009E-3</v>
      </c>
      <c r="G101" s="29">
        <f t="shared" si="10"/>
        <v>4.9930000000000012</v>
      </c>
    </row>
    <row r="102" spans="3:7" x14ac:dyDescent="0.5">
      <c r="C102" s="34">
        <v>43.52</v>
      </c>
      <c r="D102" s="34">
        <f t="shared" si="9"/>
        <v>50.43</v>
      </c>
      <c r="E102" s="34">
        <v>11.03</v>
      </c>
      <c r="F102" s="29">
        <f t="shared" si="8"/>
        <v>5.0430000000000006E-3</v>
      </c>
      <c r="G102" s="29">
        <f t="shared" si="10"/>
        <v>5.0430000000000001</v>
      </c>
    </row>
    <row r="103" spans="3:7" x14ac:dyDescent="0.5">
      <c r="C103" s="34">
        <v>44.01</v>
      </c>
      <c r="D103" s="34">
        <f t="shared" si="9"/>
        <v>50.919999999999995</v>
      </c>
      <c r="E103" s="34">
        <v>11.09</v>
      </c>
      <c r="F103" s="29">
        <f t="shared" si="8"/>
        <v>5.0919999999999993E-3</v>
      </c>
      <c r="G103" s="29">
        <f t="shared" si="10"/>
        <v>5.0919999999999996</v>
      </c>
    </row>
    <row r="104" spans="3:7" x14ac:dyDescent="0.5">
      <c r="C104" s="34"/>
      <c r="D104" s="34"/>
      <c r="E104" s="34"/>
      <c r="F104" s="29"/>
      <c r="G104" s="29"/>
    </row>
    <row r="105" spans="3:7" x14ac:dyDescent="0.5">
      <c r="C105" s="34"/>
      <c r="D105" s="34"/>
      <c r="E105" s="34"/>
      <c r="F105" s="29"/>
      <c r="G105" s="29"/>
    </row>
    <row r="106" spans="3:7" x14ac:dyDescent="0.5">
      <c r="C106" s="31"/>
      <c r="D106" s="31"/>
      <c r="E106" s="31"/>
      <c r="F106" s="31"/>
      <c r="G106" s="31"/>
    </row>
    <row r="107" spans="3:7" x14ac:dyDescent="0.5">
      <c r="C107" s="31"/>
      <c r="D107" s="31"/>
      <c r="E107" s="31"/>
      <c r="F107" s="31"/>
      <c r="G107" s="31"/>
    </row>
    <row r="108" spans="3:7" x14ac:dyDescent="0.5">
      <c r="C108" s="31"/>
      <c r="D108" s="31"/>
      <c r="E108" s="31"/>
      <c r="F108" s="31"/>
      <c r="G108" s="31"/>
    </row>
    <row r="109" spans="3:7" x14ac:dyDescent="0.5">
      <c r="C109" s="31"/>
      <c r="D109" s="31"/>
      <c r="E109" s="31"/>
      <c r="F109" s="31"/>
      <c r="G109" s="31"/>
    </row>
    <row r="110" spans="3:7" x14ac:dyDescent="0.5">
      <c r="C110" s="31"/>
      <c r="D110" s="31"/>
      <c r="E110" s="31"/>
      <c r="F110" s="31"/>
      <c r="G110" s="31"/>
    </row>
    <row r="111" spans="3:7" x14ac:dyDescent="0.5">
      <c r="C111" s="31"/>
      <c r="D111" s="31"/>
      <c r="E111" s="31"/>
      <c r="F111" s="31"/>
      <c r="G111" s="31"/>
    </row>
    <row r="112" spans="3:7" x14ac:dyDescent="0.5">
      <c r="C112" s="31"/>
      <c r="D112" s="31"/>
      <c r="E112" s="31"/>
      <c r="F112" s="31"/>
      <c r="G112" s="31"/>
    </row>
    <row r="113" spans="3:7" x14ac:dyDescent="0.5">
      <c r="C113" s="31"/>
      <c r="D113" s="31"/>
      <c r="E113" s="31"/>
      <c r="F113" s="31"/>
      <c r="G113" s="31"/>
    </row>
    <row r="114" spans="3:7" x14ac:dyDescent="0.5">
      <c r="C114" s="31"/>
      <c r="D114" s="31"/>
      <c r="E114" s="31"/>
      <c r="F114" s="31"/>
      <c r="G114" s="31"/>
    </row>
    <row r="115" spans="3:7" x14ac:dyDescent="0.5">
      <c r="C115" s="31"/>
      <c r="D115" s="31"/>
      <c r="E115" s="31"/>
      <c r="F115" s="31"/>
      <c r="G115" s="31"/>
    </row>
    <row r="116" spans="3:7" x14ac:dyDescent="0.5">
      <c r="C116" s="31"/>
      <c r="D116" s="31"/>
      <c r="E116" s="31"/>
      <c r="F116" s="31"/>
      <c r="G116" s="31"/>
    </row>
    <row r="117" spans="3:7" x14ac:dyDescent="0.5">
      <c r="C117" s="31"/>
      <c r="D117" s="31"/>
      <c r="E117" s="31"/>
      <c r="F117" s="31"/>
      <c r="G117" s="31"/>
    </row>
    <row r="118" spans="3:7" x14ac:dyDescent="0.5">
      <c r="C118" s="31"/>
      <c r="D118" s="31"/>
      <c r="E118" s="31"/>
      <c r="F118" s="31"/>
      <c r="G118" s="31"/>
    </row>
    <row r="119" spans="3:7" x14ac:dyDescent="0.5">
      <c r="C119" s="31"/>
      <c r="D119" s="31"/>
      <c r="E119" s="31"/>
      <c r="F119" s="31"/>
      <c r="G119" s="31"/>
    </row>
    <row r="120" spans="3:7" x14ac:dyDescent="0.5">
      <c r="C120" s="31"/>
      <c r="D120" s="31"/>
      <c r="E120" s="31"/>
      <c r="F120" s="31"/>
      <c r="G120" s="31"/>
    </row>
    <row r="121" spans="3:7" x14ac:dyDescent="0.5">
      <c r="C121" s="31"/>
      <c r="D121" s="31"/>
      <c r="E121" s="31"/>
      <c r="F121" s="31"/>
      <c r="G121" s="31"/>
    </row>
    <row r="122" spans="3:7" x14ac:dyDescent="0.5">
      <c r="C122" s="31"/>
      <c r="D122" s="31"/>
      <c r="E122" s="31"/>
      <c r="F122" s="31"/>
      <c r="G122" s="31"/>
    </row>
    <row r="123" spans="3:7" x14ac:dyDescent="0.5">
      <c r="C123" s="31"/>
      <c r="D123" s="31"/>
      <c r="E123" s="31"/>
      <c r="F123" s="31"/>
      <c r="G123" s="31"/>
    </row>
    <row r="124" spans="3:7" x14ac:dyDescent="0.5">
      <c r="C124" s="31"/>
      <c r="D124" s="31"/>
      <c r="E124" s="31"/>
      <c r="F124" s="31"/>
      <c r="G124" s="31"/>
    </row>
    <row r="125" spans="3:7" x14ac:dyDescent="0.5">
      <c r="C125" s="31"/>
      <c r="D125" s="31"/>
      <c r="E125" s="31"/>
      <c r="F125" s="31"/>
      <c r="G125" s="31"/>
    </row>
    <row r="126" spans="3:7" x14ac:dyDescent="0.5">
      <c r="C126" s="31"/>
      <c r="D126" s="31"/>
      <c r="E126" s="31"/>
      <c r="F126" s="31"/>
      <c r="G126" s="31"/>
    </row>
    <row r="127" spans="3:7" x14ac:dyDescent="0.5">
      <c r="C127" s="31"/>
      <c r="D127" s="31"/>
      <c r="E127" s="31"/>
      <c r="F127" s="31"/>
      <c r="G127" s="31"/>
    </row>
    <row r="128" spans="3:7" x14ac:dyDescent="0.5">
      <c r="C128" s="31"/>
      <c r="D128" s="31"/>
      <c r="E128" s="31"/>
      <c r="F128" s="31"/>
      <c r="G128" s="31"/>
    </row>
    <row r="129" spans="3:7" x14ac:dyDescent="0.5">
      <c r="C129" s="31"/>
      <c r="D129" s="31"/>
      <c r="E129" s="31"/>
      <c r="F129" s="31"/>
      <c r="G129" s="31"/>
    </row>
    <row r="130" spans="3:7" x14ac:dyDescent="0.5">
      <c r="C130" s="31"/>
      <c r="D130" s="31"/>
      <c r="E130" s="31"/>
      <c r="F130" s="31"/>
      <c r="G130" s="31"/>
    </row>
    <row r="131" spans="3:7" x14ac:dyDescent="0.5">
      <c r="C131" s="31"/>
      <c r="D131" s="31"/>
      <c r="E131" s="31"/>
      <c r="F131" s="31"/>
      <c r="G131" s="31"/>
    </row>
    <row r="132" spans="3:7" x14ac:dyDescent="0.5">
      <c r="C132" s="31"/>
      <c r="D132" s="31"/>
      <c r="E132" s="31"/>
      <c r="F132" s="31"/>
      <c r="G132" s="31"/>
    </row>
    <row r="133" spans="3:7" x14ac:dyDescent="0.5">
      <c r="C133" s="31"/>
      <c r="D133" s="31"/>
      <c r="E133" s="31"/>
      <c r="F133" s="31"/>
      <c r="G133" s="31"/>
    </row>
    <row r="134" spans="3:7" x14ac:dyDescent="0.5">
      <c r="C134" s="31"/>
      <c r="D134" s="31"/>
      <c r="E134" s="31"/>
      <c r="F134" s="31"/>
      <c r="G134" s="31"/>
    </row>
    <row r="135" spans="3:7" x14ac:dyDescent="0.5">
      <c r="C135" s="31"/>
      <c r="D135" s="31"/>
      <c r="E135" s="31"/>
      <c r="F135" s="31"/>
      <c r="G135" s="31"/>
    </row>
    <row r="136" spans="3:7" x14ac:dyDescent="0.5">
      <c r="C136" s="31"/>
      <c r="D136" s="31"/>
      <c r="E136" s="31"/>
      <c r="F136" s="31"/>
      <c r="G136" s="31"/>
    </row>
    <row r="137" spans="3:7" x14ac:dyDescent="0.5">
      <c r="C137" s="31"/>
      <c r="D137" s="31"/>
      <c r="E137" s="31"/>
      <c r="F137" s="31"/>
      <c r="G137" s="31"/>
    </row>
    <row r="138" spans="3:7" x14ac:dyDescent="0.5">
      <c r="C138" s="31"/>
      <c r="D138" s="31"/>
      <c r="E138" s="31"/>
      <c r="F138" s="31"/>
      <c r="G138" s="31"/>
    </row>
  </sheetData>
  <mergeCells count="6">
    <mergeCell ref="R28:S28"/>
    <mergeCell ref="R3:S3"/>
    <mergeCell ref="R8:S8"/>
    <mergeCell ref="R13:S13"/>
    <mergeCell ref="R18:S18"/>
    <mergeCell ref="R23:S2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33F3-A8D9-5849-9632-5FA610BBDD06}">
  <sheetPr>
    <tabColor theme="8"/>
  </sheetPr>
  <dimension ref="A1:S138"/>
  <sheetViews>
    <sheetView topLeftCell="E3" zoomScale="85" zoomScaleNormal="100" workbookViewId="0">
      <selection activeCell="D1" sqref="D1:G103"/>
    </sheetView>
  </sheetViews>
  <sheetFormatPr defaultColWidth="11" defaultRowHeight="15.75" x14ac:dyDescent="0.5"/>
  <cols>
    <col min="1" max="1" width="25.3125" customWidth="1"/>
    <col min="2" max="2" width="13.8125" customWidth="1"/>
    <col min="3" max="8" width="21.5" style="10" customWidth="1"/>
  </cols>
  <sheetData>
    <row r="1" spans="1:19" ht="26.65" x14ac:dyDescent="0.5">
      <c r="A1" s="24" t="s">
        <v>23</v>
      </c>
      <c r="B1" s="25">
        <v>13.5</v>
      </c>
      <c r="C1" s="26" t="s">
        <v>24</v>
      </c>
      <c r="D1" s="27" t="s">
        <v>25</v>
      </c>
      <c r="E1" s="27" t="s">
        <v>26</v>
      </c>
      <c r="F1" s="27" t="s">
        <v>27</v>
      </c>
      <c r="G1" s="27" t="s">
        <v>28</v>
      </c>
    </row>
    <row r="2" spans="1:19" x14ac:dyDescent="0.5">
      <c r="A2" s="24" t="s">
        <v>29</v>
      </c>
      <c r="B2" s="28">
        <v>1.91</v>
      </c>
      <c r="C2" s="29">
        <f>B1</f>
        <v>13.5</v>
      </c>
      <c r="D2" s="29">
        <f t="shared" ref="D2:D33" si="0">C2-$B$1</f>
        <v>0</v>
      </c>
      <c r="E2" s="29">
        <v>1.91</v>
      </c>
      <c r="F2" s="29">
        <f>(D2)*($B$3)</f>
        <v>0</v>
      </c>
      <c r="G2" s="29">
        <f t="shared" ref="G2:G33" si="1">F2/$B$6</f>
        <v>0</v>
      </c>
    </row>
    <row r="3" spans="1:19" ht="34.049999999999997" customHeight="1" x14ac:dyDescent="0.5">
      <c r="A3" s="24" t="s">
        <v>30</v>
      </c>
      <c r="B3" s="28">
        <v>0.1</v>
      </c>
      <c r="C3" s="29">
        <v>13.98</v>
      </c>
      <c r="D3" s="29">
        <f t="shared" si="0"/>
        <v>0.48000000000000043</v>
      </c>
      <c r="E3" s="29">
        <v>1.91</v>
      </c>
      <c r="F3" s="29">
        <f t="shared" ref="F3:F34" si="2">(D3/1000)*($B$3)</f>
        <v>4.8000000000000049E-5</v>
      </c>
      <c r="G3" s="29">
        <f t="shared" si="1"/>
        <v>4.800000000000005E-2</v>
      </c>
      <c r="R3" s="41" t="s">
        <v>48</v>
      </c>
      <c r="S3" s="41"/>
    </row>
    <row r="4" spans="1:19" x14ac:dyDescent="0.5">
      <c r="A4" s="24" t="s">
        <v>31</v>
      </c>
      <c r="B4" s="28">
        <v>0.1</v>
      </c>
      <c r="C4" s="29">
        <v>14.45</v>
      </c>
      <c r="D4" s="29">
        <f t="shared" si="0"/>
        <v>0.94999999999999929</v>
      </c>
      <c r="E4" s="29">
        <v>1.91</v>
      </c>
      <c r="F4" s="29">
        <f t="shared" si="2"/>
        <v>9.4999999999999924E-5</v>
      </c>
      <c r="G4" s="29">
        <f t="shared" si="1"/>
        <v>9.4999999999999918E-2</v>
      </c>
      <c r="R4" s="18" t="s">
        <v>32</v>
      </c>
      <c r="S4" s="18" t="s">
        <v>33</v>
      </c>
    </row>
    <row r="5" spans="1:19" x14ac:dyDescent="0.5">
      <c r="A5" s="24" t="s">
        <v>34</v>
      </c>
      <c r="B5" s="28">
        <v>10</v>
      </c>
      <c r="C5" s="29">
        <v>15</v>
      </c>
      <c r="D5" s="29">
        <f t="shared" si="0"/>
        <v>1.5</v>
      </c>
      <c r="E5" s="29">
        <v>1.91</v>
      </c>
      <c r="F5" s="29">
        <f t="shared" si="2"/>
        <v>1.5000000000000001E-4</v>
      </c>
      <c r="G5" s="29">
        <f t="shared" si="1"/>
        <v>0.15000000000000002</v>
      </c>
      <c r="R5">
        <v>28.51</v>
      </c>
      <c r="S5">
        <v>3.32</v>
      </c>
    </row>
    <row r="6" spans="1:19" x14ac:dyDescent="0.5">
      <c r="A6" s="24" t="s">
        <v>35</v>
      </c>
      <c r="B6" s="28">
        <f>B4*(B5/1000)</f>
        <v>1E-3</v>
      </c>
      <c r="C6" s="29">
        <v>15.49</v>
      </c>
      <c r="D6" s="29">
        <f t="shared" si="0"/>
        <v>1.9900000000000002</v>
      </c>
      <c r="E6" s="29">
        <v>1.92</v>
      </c>
      <c r="F6" s="29">
        <f t="shared" si="2"/>
        <v>1.9900000000000001E-4</v>
      </c>
      <c r="G6" s="29">
        <f t="shared" si="1"/>
        <v>0.19900000000000001</v>
      </c>
    </row>
    <row r="7" spans="1:19" x14ac:dyDescent="0.5">
      <c r="A7" s="30"/>
      <c r="B7" s="30"/>
      <c r="C7" s="29">
        <v>16.010000000000002</v>
      </c>
      <c r="D7" s="29">
        <f t="shared" si="0"/>
        <v>2.5100000000000016</v>
      </c>
      <c r="E7" s="29">
        <v>1.92</v>
      </c>
      <c r="F7" s="29">
        <f t="shared" si="2"/>
        <v>2.5100000000000014E-4</v>
      </c>
      <c r="G7" s="29">
        <f t="shared" si="1"/>
        <v>0.25100000000000011</v>
      </c>
    </row>
    <row r="8" spans="1:19" x14ac:dyDescent="0.5">
      <c r="A8" s="30"/>
      <c r="B8" s="30"/>
      <c r="C8" s="34">
        <v>16.48</v>
      </c>
      <c r="D8" s="34">
        <f t="shared" si="0"/>
        <v>2.9800000000000004</v>
      </c>
      <c r="E8" s="34">
        <v>1.93</v>
      </c>
      <c r="F8" s="29">
        <f t="shared" si="2"/>
        <v>2.9800000000000009E-4</v>
      </c>
      <c r="G8" s="29">
        <f t="shared" si="1"/>
        <v>0.2980000000000001</v>
      </c>
      <c r="R8" s="40" t="s">
        <v>49</v>
      </c>
      <c r="S8" s="40"/>
    </row>
    <row r="9" spans="1:19" x14ac:dyDescent="0.5">
      <c r="A9" s="30"/>
      <c r="B9" s="30"/>
      <c r="C9" s="34">
        <v>17.079999999999998</v>
      </c>
      <c r="D9" s="34">
        <f t="shared" si="0"/>
        <v>3.5799999999999983</v>
      </c>
      <c r="E9" s="34">
        <v>1.94</v>
      </c>
      <c r="F9" s="29">
        <f t="shared" si="2"/>
        <v>3.5799999999999981E-4</v>
      </c>
      <c r="G9" s="29">
        <f t="shared" si="1"/>
        <v>0.35799999999999982</v>
      </c>
      <c r="R9" s="18" t="s">
        <v>32</v>
      </c>
      <c r="S9" s="18" t="s">
        <v>33</v>
      </c>
    </row>
    <row r="10" spans="1:19" x14ac:dyDescent="0.5">
      <c r="A10" s="30"/>
      <c r="B10" s="30"/>
      <c r="C10" s="34">
        <v>17.489999999999998</v>
      </c>
      <c r="D10" s="34">
        <f t="shared" si="0"/>
        <v>3.9899999999999984</v>
      </c>
      <c r="E10" s="34">
        <v>1.95</v>
      </c>
      <c r="F10" s="29">
        <f t="shared" si="2"/>
        <v>3.9899999999999989E-4</v>
      </c>
      <c r="G10" s="29">
        <f t="shared" si="1"/>
        <v>0.39899999999999985</v>
      </c>
      <c r="R10">
        <v>23.98</v>
      </c>
      <c r="S10">
        <v>2.75</v>
      </c>
    </row>
    <row r="11" spans="1:19" x14ac:dyDescent="0.5">
      <c r="A11" s="30"/>
      <c r="B11" s="30"/>
      <c r="C11" s="34">
        <v>18</v>
      </c>
      <c r="D11" s="34">
        <f t="shared" si="0"/>
        <v>4.5</v>
      </c>
      <c r="E11" s="34">
        <v>1.96</v>
      </c>
      <c r="F11" s="29">
        <f t="shared" si="2"/>
        <v>4.4999999999999999E-4</v>
      </c>
      <c r="G11" s="29">
        <f t="shared" si="1"/>
        <v>0.44999999999999996</v>
      </c>
    </row>
    <row r="12" spans="1:19" x14ac:dyDescent="0.5">
      <c r="A12" s="30"/>
      <c r="B12" s="30"/>
      <c r="C12" s="34">
        <v>18.48</v>
      </c>
      <c r="D12" s="34">
        <f t="shared" si="0"/>
        <v>4.9800000000000004</v>
      </c>
      <c r="E12" s="34">
        <v>1.97</v>
      </c>
      <c r="F12" s="29">
        <f t="shared" si="2"/>
        <v>4.9800000000000007E-4</v>
      </c>
      <c r="G12" s="29">
        <f t="shared" si="1"/>
        <v>0.49800000000000005</v>
      </c>
    </row>
    <row r="13" spans="1:19" x14ac:dyDescent="0.5">
      <c r="A13" s="30"/>
      <c r="B13" s="30"/>
      <c r="C13" s="34">
        <v>18.989999999999998</v>
      </c>
      <c r="D13" s="34">
        <f t="shared" si="0"/>
        <v>5.4899999999999984</v>
      </c>
      <c r="E13" s="34">
        <v>1.98</v>
      </c>
      <c r="F13" s="29">
        <f t="shared" si="2"/>
        <v>5.489999999999999E-4</v>
      </c>
      <c r="G13" s="29">
        <f t="shared" si="1"/>
        <v>0.54899999999999993</v>
      </c>
      <c r="R13" s="41" t="s">
        <v>50</v>
      </c>
      <c r="S13" s="41"/>
    </row>
    <row r="14" spans="1:19" x14ac:dyDescent="0.5">
      <c r="A14" s="30"/>
      <c r="B14" s="30"/>
      <c r="C14" s="34">
        <v>19.45</v>
      </c>
      <c r="D14" s="34">
        <f t="shared" si="0"/>
        <v>5.9499999999999993</v>
      </c>
      <c r="E14" s="34">
        <v>1.99</v>
      </c>
      <c r="F14" s="29">
        <f t="shared" si="2"/>
        <v>5.9500000000000004E-4</v>
      </c>
      <c r="G14" s="29">
        <f t="shared" si="1"/>
        <v>0.59500000000000008</v>
      </c>
      <c r="R14" s="18" t="s">
        <v>32</v>
      </c>
      <c r="S14" s="18" t="s">
        <v>33</v>
      </c>
    </row>
    <row r="15" spans="1:19" x14ac:dyDescent="0.5">
      <c r="A15" s="30"/>
      <c r="B15" s="30"/>
      <c r="C15" s="34">
        <v>20.010000000000002</v>
      </c>
      <c r="D15" s="34">
        <f t="shared" si="0"/>
        <v>6.5100000000000016</v>
      </c>
      <c r="E15" s="34">
        <v>2</v>
      </c>
      <c r="F15" s="29">
        <f t="shared" si="2"/>
        <v>6.5100000000000021E-4</v>
      </c>
      <c r="G15" s="29">
        <f t="shared" si="1"/>
        <v>0.65100000000000025</v>
      </c>
      <c r="R15">
        <v>38.4</v>
      </c>
      <c r="S15">
        <v>7.47</v>
      </c>
    </row>
    <row r="16" spans="1:19" x14ac:dyDescent="0.5">
      <c r="A16" s="30"/>
      <c r="B16" s="30"/>
      <c r="C16" s="34">
        <v>20.5</v>
      </c>
      <c r="D16" s="34">
        <f t="shared" si="0"/>
        <v>7</v>
      </c>
      <c r="E16" s="34">
        <v>2.0099999999999998</v>
      </c>
      <c r="F16" s="29">
        <f t="shared" si="2"/>
        <v>7.000000000000001E-4</v>
      </c>
      <c r="G16" s="29">
        <f t="shared" si="1"/>
        <v>0.70000000000000007</v>
      </c>
    </row>
    <row r="17" spans="1:19" x14ac:dyDescent="0.5">
      <c r="A17" s="30"/>
      <c r="B17" s="30"/>
      <c r="C17" s="34">
        <v>21.1</v>
      </c>
      <c r="D17" s="34">
        <f t="shared" si="0"/>
        <v>7.6000000000000014</v>
      </c>
      <c r="E17" s="34">
        <v>2.02</v>
      </c>
      <c r="F17" s="29">
        <f t="shared" si="2"/>
        <v>7.6000000000000026E-4</v>
      </c>
      <c r="G17" s="29">
        <f t="shared" si="1"/>
        <v>0.76000000000000023</v>
      </c>
    </row>
    <row r="18" spans="1:19" x14ac:dyDescent="0.5">
      <c r="A18" s="30"/>
      <c r="B18" s="30"/>
      <c r="C18" s="34">
        <v>21.49</v>
      </c>
      <c r="D18" s="34">
        <f t="shared" si="0"/>
        <v>7.9899999999999984</v>
      </c>
      <c r="E18" s="34">
        <v>2.0299999999999998</v>
      </c>
      <c r="F18" s="29">
        <f t="shared" si="2"/>
        <v>7.9899999999999991E-4</v>
      </c>
      <c r="G18" s="29">
        <f t="shared" si="1"/>
        <v>0.79899999999999993</v>
      </c>
      <c r="R18" s="40" t="s">
        <v>51</v>
      </c>
      <c r="S18" s="40"/>
    </row>
    <row r="19" spans="1:19" x14ac:dyDescent="0.5">
      <c r="A19" s="30"/>
      <c r="B19" s="30"/>
      <c r="C19" s="34">
        <v>22</v>
      </c>
      <c r="D19" s="34">
        <f t="shared" si="0"/>
        <v>8.5</v>
      </c>
      <c r="E19" s="34">
        <v>2.04</v>
      </c>
      <c r="F19" s="29">
        <f t="shared" si="2"/>
        <v>8.5000000000000006E-4</v>
      </c>
      <c r="G19" s="29">
        <f t="shared" si="1"/>
        <v>0.85000000000000009</v>
      </c>
      <c r="R19" s="18" t="s">
        <v>32</v>
      </c>
      <c r="S19" s="18" t="s">
        <v>33</v>
      </c>
    </row>
    <row r="20" spans="1:19" x14ac:dyDescent="0.5">
      <c r="A20" s="30"/>
      <c r="B20" s="30"/>
      <c r="C20" s="34">
        <v>22.51</v>
      </c>
      <c r="D20" s="34">
        <f t="shared" si="0"/>
        <v>9.0100000000000016</v>
      </c>
      <c r="E20" s="34">
        <v>2.06</v>
      </c>
      <c r="F20" s="29">
        <f t="shared" si="2"/>
        <v>9.0100000000000032E-4</v>
      </c>
      <c r="G20" s="29">
        <f t="shared" si="1"/>
        <v>0.90100000000000036</v>
      </c>
      <c r="R20">
        <v>34</v>
      </c>
      <c r="S20">
        <v>4.34</v>
      </c>
    </row>
    <row r="21" spans="1:19" x14ac:dyDescent="0.5">
      <c r="A21" s="30"/>
      <c r="B21" s="30"/>
      <c r="C21" s="34">
        <v>23</v>
      </c>
      <c r="D21" s="34">
        <f t="shared" si="0"/>
        <v>9.5</v>
      </c>
      <c r="E21" s="34">
        <v>2.0699999999999998</v>
      </c>
      <c r="F21" s="29">
        <f t="shared" si="2"/>
        <v>9.5E-4</v>
      </c>
      <c r="G21" s="29">
        <f t="shared" si="1"/>
        <v>0.95</v>
      </c>
    </row>
    <row r="22" spans="1:19" x14ac:dyDescent="0.5">
      <c r="C22" s="34">
        <v>23.51</v>
      </c>
      <c r="D22" s="34">
        <f t="shared" si="0"/>
        <v>10.010000000000002</v>
      </c>
      <c r="E22" s="34">
        <v>2.09</v>
      </c>
      <c r="F22" s="29">
        <f t="shared" si="2"/>
        <v>1.0010000000000002E-3</v>
      </c>
      <c r="G22" s="29">
        <f t="shared" si="1"/>
        <v>1.0010000000000001</v>
      </c>
    </row>
    <row r="23" spans="1:19" x14ac:dyDescent="0.5">
      <c r="C23" s="34">
        <v>24.1</v>
      </c>
      <c r="D23" s="34">
        <f t="shared" si="0"/>
        <v>10.600000000000001</v>
      </c>
      <c r="E23" s="34">
        <v>2.1</v>
      </c>
      <c r="F23" s="29">
        <f t="shared" si="2"/>
        <v>1.0600000000000002E-3</v>
      </c>
      <c r="G23" s="29">
        <f t="shared" si="1"/>
        <v>1.06</v>
      </c>
      <c r="R23" s="41" t="s">
        <v>52</v>
      </c>
      <c r="S23" s="41"/>
    </row>
    <row r="24" spans="1:19" x14ac:dyDescent="0.5">
      <c r="C24" s="34">
        <v>24.55</v>
      </c>
      <c r="D24" s="34">
        <f t="shared" si="0"/>
        <v>11.05</v>
      </c>
      <c r="E24" s="34">
        <v>2.12</v>
      </c>
      <c r="F24" s="29">
        <f t="shared" si="2"/>
        <v>1.1050000000000001E-3</v>
      </c>
      <c r="G24" s="29">
        <f t="shared" si="1"/>
        <v>1.105</v>
      </c>
      <c r="R24" s="18" t="s">
        <v>32</v>
      </c>
      <c r="S24" s="18" t="s">
        <v>33</v>
      </c>
    </row>
    <row r="25" spans="1:19" x14ac:dyDescent="0.5">
      <c r="C25" s="34">
        <v>24.99</v>
      </c>
      <c r="D25" s="34">
        <f t="shared" si="0"/>
        <v>11.489999999999998</v>
      </c>
      <c r="E25" s="34">
        <v>2.13</v>
      </c>
      <c r="F25" s="29">
        <f t="shared" si="2"/>
        <v>1.1489999999999998E-3</v>
      </c>
      <c r="G25" s="29">
        <f t="shared" si="1"/>
        <v>1.1489999999999998</v>
      </c>
      <c r="R25">
        <v>48.11</v>
      </c>
      <c r="S25">
        <v>10.67</v>
      </c>
    </row>
    <row r="26" spans="1:19" x14ac:dyDescent="0.5">
      <c r="C26" s="34">
        <v>25.51</v>
      </c>
      <c r="D26" s="34">
        <f t="shared" si="0"/>
        <v>12.010000000000002</v>
      </c>
      <c r="E26" s="34">
        <v>2.14</v>
      </c>
      <c r="F26" s="29">
        <f t="shared" si="2"/>
        <v>1.2010000000000002E-3</v>
      </c>
      <c r="G26" s="29">
        <f t="shared" si="1"/>
        <v>1.2010000000000003</v>
      </c>
    </row>
    <row r="27" spans="1:19" x14ac:dyDescent="0.5">
      <c r="C27" s="34">
        <v>26.01</v>
      </c>
      <c r="D27" s="34">
        <f t="shared" si="0"/>
        <v>12.510000000000002</v>
      </c>
      <c r="E27" s="34">
        <v>2.16</v>
      </c>
      <c r="F27" s="29">
        <f t="shared" si="2"/>
        <v>1.2510000000000004E-3</v>
      </c>
      <c r="G27" s="29">
        <f t="shared" si="1"/>
        <v>1.2510000000000003</v>
      </c>
    </row>
    <row r="28" spans="1:19" x14ac:dyDescent="0.5">
      <c r="C28" s="34">
        <v>26.5</v>
      </c>
      <c r="D28" s="34">
        <f t="shared" si="0"/>
        <v>13</v>
      </c>
      <c r="E28" s="34">
        <v>2.1800000000000002</v>
      </c>
      <c r="F28" s="29">
        <f t="shared" si="2"/>
        <v>1.2999999999999999E-3</v>
      </c>
      <c r="G28" s="29">
        <f t="shared" si="1"/>
        <v>1.2999999999999998</v>
      </c>
      <c r="R28" s="40" t="s">
        <v>53</v>
      </c>
      <c r="S28" s="40"/>
    </row>
    <row r="29" spans="1:19" x14ac:dyDescent="0.5">
      <c r="C29" s="34">
        <v>27.01</v>
      </c>
      <c r="D29" s="34">
        <f t="shared" si="0"/>
        <v>13.510000000000002</v>
      </c>
      <c r="E29" s="34">
        <v>2.2000000000000002</v>
      </c>
      <c r="F29" s="29">
        <f t="shared" si="2"/>
        <v>1.3510000000000002E-3</v>
      </c>
      <c r="G29" s="29">
        <f t="shared" si="1"/>
        <v>1.3510000000000002</v>
      </c>
      <c r="R29" s="18" t="s">
        <v>32</v>
      </c>
      <c r="S29" s="18" t="s">
        <v>33</v>
      </c>
    </row>
    <row r="30" spans="1:19" x14ac:dyDescent="0.5">
      <c r="C30" s="29">
        <v>27.45</v>
      </c>
      <c r="D30" s="29">
        <f t="shared" si="0"/>
        <v>13.95</v>
      </c>
      <c r="E30" s="29">
        <v>2.21</v>
      </c>
      <c r="F30" s="29">
        <f t="shared" si="2"/>
        <v>1.395E-3</v>
      </c>
      <c r="G30" s="29">
        <f t="shared" si="1"/>
        <v>1.395</v>
      </c>
      <c r="R30">
        <v>43.42</v>
      </c>
      <c r="S30">
        <v>9.74</v>
      </c>
    </row>
    <row r="31" spans="1:19" x14ac:dyDescent="0.5">
      <c r="C31" s="29">
        <v>28.08</v>
      </c>
      <c r="D31" s="29">
        <f t="shared" si="0"/>
        <v>14.579999999999998</v>
      </c>
      <c r="E31" s="29">
        <v>2.23</v>
      </c>
      <c r="F31" s="29">
        <f t="shared" si="2"/>
        <v>1.4579999999999999E-3</v>
      </c>
      <c r="G31" s="29">
        <f t="shared" si="1"/>
        <v>1.4579999999999997</v>
      </c>
    </row>
    <row r="32" spans="1:19" x14ac:dyDescent="0.5">
      <c r="C32" s="29">
        <v>28.61</v>
      </c>
      <c r="D32" s="29">
        <f t="shared" si="0"/>
        <v>15.11</v>
      </c>
      <c r="E32" s="29">
        <v>2.2599999999999998</v>
      </c>
      <c r="F32" s="29">
        <f t="shared" si="2"/>
        <v>1.5110000000000002E-3</v>
      </c>
      <c r="G32" s="29">
        <f t="shared" si="1"/>
        <v>1.5110000000000001</v>
      </c>
    </row>
    <row r="33" spans="3:7" x14ac:dyDescent="0.5">
      <c r="C33" s="29">
        <v>29.02</v>
      </c>
      <c r="D33" s="29">
        <f t="shared" si="0"/>
        <v>15.52</v>
      </c>
      <c r="E33" s="29">
        <v>2.27</v>
      </c>
      <c r="F33" s="29">
        <f t="shared" si="2"/>
        <v>1.552E-3</v>
      </c>
      <c r="G33" s="29">
        <f t="shared" si="1"/>
        <v>1.552</v>
      </c>
    </row>
    <row r="34" spans="3:7" x14ac:dyDescent="0.5">
      <c r="C34" s="29">
        <v>29.5</v>
      </c>
      <c r="D34" s="29">
        <f t="shared" ref="D34:D65" si="3">C34-$B$1</f>
        <v>16</v>
      </c>
      <c r="E34" s="29">
        <v>2.29</v>
      </c>
      <c r="F34" s="29">
        <f t="shared" si="2"/>
        <v>1.6000000000000001E-3</v>
      </c>
      <c r="G34" s="29">
        <f t="shared" ref="G34:G65" si="4">F34/$B$6</f>
        <v>1.6</v>
      </c>
    </row>
    <row r="35" spans="3:7" x14ac:dyDescent="0.5">
      <c r="C35" s="29">
        <v>30.05</v>
      </c>
      <c r="D35" s="29">
        <f t="shared" si="3"/>
        <v>16.55</v>
      </c>
      <c r="E35" s="29">
        <v>2.31</v>
      </c>
      <c r="F35" s="29">
        <f t="shared" ref="F35:F66" si="5">(D35/1000)*($B$3)</f>
        <v>1.6550000000000002E-3</v>
      </c>
      <c r="G35" s="29">
        <f t="shared" si="4"/>
        <v>1.6550000000000002</v>
      </c>
    </row>
    <row r="36" spans="3:7" x14ac:dyDescent="0.5">
      <c r="C36" s="29">
        <v>30.54</v>
      </c>
      <c r="D36" s="29">
        <f t="shared" si="3"/>
        <v>17.04</v>
      </c>
      <c r="E36" s="29">
        <v>2.33</v>
      </c>
      <c r="F36" s="29">
        <f t="shared" si="5"/>
        <v>1.704E-3</v>
      </c>
      <c r="G36" s="29">
        <f t="shared" si="4"/>
        <v>1.704</v>
      </c>
    </row>
    <row r="37" spans="3:7" x14ac:dyDescent="0.5">
      <c r="C37" s="29">
        <v>31.01</v>
      </c>
      <c r="D37" s="29">
        <f t="shared" si="3"/>
        <v>17.510000000000002</v>
      </c>
      <c r="E37" s="29">
        <v>2.35</v>
      </c>
      <c r="F37" s="29">
        <f t="shared" si="5"/>
        <v>1.7510000000000002E-3</v>
      </c>
      <c r="G37" s="29">
        <f t="shared" si="4"/>
        <v>1.7510000000000001</v>
      </c>
    </row>
    <row r="38" spans="3:7" x14ac:dyDescent="0.5">
      <c r="C38" s="29">
        <v>31.49</v>
      </c>
      <c r="D38" s="29">
        <f t="shared" si="3"/>
        <v>17.989999999999998</v>
      </c>
      <c r="E38" s="29">
        <v>2.38</v>
      </c>
      <c r="F38" s="29">
        <f t="shared" si="5"/>
        <v>1.799E-3</v>
      </c>
      <c r="G38" s="29">
        <f t="shared" si="4"/>
        <v>1.7989999999999999</v>
      </c>
    </row>
    <row r="39" spans="3:7" x14ac:dyDescent="0.5">
      <c r="C39" s="34">
        <v>32</v>
      </c>
      <c r="D39" s="34">
        <f t="shared" si="3"/>
        <v>18.5</v>
      </c>
      <c r="E39" s="34">
        <v>2.4</v>
      </c>
      <c r="F39" s="29">
        <f t="shared" si="5"/>
        <v>1.8500000000000001E-3</v>
      </c>
      <c r="G39" s="29">
        <f t="shared" si="4"/>
        <v>1.85</v>
      </c>
    </row>
    <row r="40" spans="3:7" x14ac:dyDescent="0.5">
      <c r="C40" s="34">
        <v>32.549999999999997</v>
      </c>
      <c r="D40" s="34">
        <f t="shared" si="3"/>
        <v>19.049999999999997</v>
      </c>
      <c r="E40" s="34">
        <v>2.4300000000000002</v>
      </c>
      <c r="F40" s="29">
        <f t="shared" si="5"/>
        <v>1.9049999999999998E-3</v>
      </c>
      <c r="G40" s="29">
        <f t="shared" si="4"/>
        <v>1.9049999999999998</v>
      </c>
    </row>
    <row r="41" spans="3:7" x14ac:dyDescent="0.5">
      <c r="C41" s="34">
        <v>33.08</v>
      </c>
      <c r="D41" s="34">
        <f t="shared" si="3"/>
        <v>19.579999999999998</v>
      </c>
      <c r="E41" s="34">
        <v>2.4500000000000002</v>
      </c>
      <c r="F41" s="29">
        <f t="shared" si="5"/>
        <v>1.9579999999999997E-3</v>
      </c>
      <c r="G41" s="29">
        <f t="shared" si="4"/>
        <v>1.9579999999999997</v>
      </c>
    </row>
    <row r="42" spans="3:7" x14ac:dyDescent="0.5">
      <c r="C42" s="34">
        <v>33.520000000000003</v>
      </c>
      <c r="D42" s="34">
        <f t="shared" si="3"/>
        <v>20.020000000000003</v>
      </c>
      <c r="E42" s="34">
        <v>2.48</v>
      </c>
      <c r="F42" s="29">
        <f t="shared" si="5"/>
        <v>2.0020000000000003E-3</v>
      </c>
      <c r="G42" s="29">
        <f t="shared" si="4"/>
        <v>2.0020000000000002</v>
      </c>
    </row>
    <row r="43" spans="3:7" x14ac:dyDescent="0.5">
      <c r="C43" s="34">
        <v>34</v>
      </c>
      <c r="D43" s="34">
        <f t="shared" si="3"/>
        <v>20.5</v>
      </c>
      <c r="E43" s="34">
        <v>2.5099999999999998</v>
      </c>
      <c r="F43" s="29">
        <f t="shared" si="5"/>
        <v>2.0500000000000002E-3</v>
      </c>
      <c r="G43" s="29">
        <f t="shared" si="4"/>
        <v>2.0500000000000003</v>
      </c>
    </row>
    <row r="44" spans="3:7" x14ac:dyDescent="0.5">
      <c r="C44" s="34">
        <v>34.5</v>
      </c>
      <c r="D44" s="34">
        <f t="shared" si="3"/>
        <v>21</v>
      </c>
      <c r="E44" s="34">
        <v>2.54</v>
      </c>
      <c r="F44" s="29">
        <f t="shared" si="5"/>
        <v>2.1000000000000003E-3</v>
      </c>
      <c r="G44" s="29">
        <f t="shared" si="4"/>
        <v>2.1</v>
      </c>
    </row>
    <row r="45" spans="3:7" x14ac:dyDescent="0.5">
      <c r="C45" s="34">
        <v>35.049999999999997</v>
      </c>
      <c r="D45" s="34">
        <f t="shared" si="3"/>
        <v>21.549999999999997</v>
      </c>
      <c r="E45" s="34">
        <v>2.57</v>
      </c>
      <c r="F45" s="29">
        <f t="shared" si="5"/>
        <v>2.1549999999999998E-3</v>
      </c>
      <c r="G45" s="29">
        <f t="shared" si="4"/>
        <v>2.1549999999999998</v>
      </c>
    </row>
    <row r="46" spans="3:7" x14ac:dyDescent="0.5">
      <c r="C46" s="34">
        <v>35.56</v>
      </c>
      <c r="D46" s="34">
        <f t="shared" si="3"/>
        <v>22.060000000000002</v>
      </c>
      <c r="E46" s="34">
        <v>2.6</v>
      </c>
      <c r="F46" s="29">
        <f t="shared" si="5"/>
        <v>2.2060000000000005E-3</v>
      </c>
      <c r="G46" s="29">
        <f t="shared" si="4"/>
        <v>2.2060000000000004</v>
      </c>
    </row>
    <row r="47" spans="3:7" x14ac:dyDescent="0.5">
      <c r="C47" s="34">
        <v>36.1</v>
      </c>
      <c r="D47" s="34">
        <f t="shared" si="3"/>
        <v>22.6</v>
      </c>
      <c r="E47" s="34">
        <v>2.64</v>
      </c>
      <c r="F47" s="29">
        <f t="shared" si="5"/>
        <v>2.2600000000000003E-3</v>
      </c>
      <c r="G47" s="29">
        <f t="shared" si="4"/>
        <v>2.2600000000000002</v>
      </c>
    </row>
    <row r="48" spans="3:7" x14ac:dyDescent="0.5">
      <c r="C48" s="34">
        <v>36.5</v>
      </c>
      <c r="D48" s="34">
        <f t="shared" si="3"/>
        <v>23</v>
      </c>
      <c r="E48" s="34">
        <v>2.67</v>
      </c>
      <c r="F48" s="29">
        <f t="shared" si="5"/>
        <v>2.3E-3</v>
      </c>
      <c r="G48" s="29">
        <f t="shared" si="4"/>
        <v>2.2999999999999998</v>
      </c>
    </row>
    <row r="49" spans="3:7" x14ac:dyDescent="0.5">
      <c r="C49" s="34">
        <v>37.01</v>
      </c>
      <c r="D49" s="34">
        <f t="shared" si="3"/>
        <v>23.509999999999998</v>
      </c>
      <c r="E49" s="34">
        <v>2.71</v>
      </c>
      <c r="F49" s="29">
        <f t="shared" si="5"/>
        <v>2.3510000000000002E-3</v>
      </c>
      <c r="G49" s="29">
        <f t="shared" si="4"/>
        <v>2.351</v>
      </c>
    </row>
    <row r="50" spans="3:7" x14ac:dyDescent="0.5">
      <c r="C50" s="34">
        <v>37.479999999999997</v>
      </c>
      <c r="D50" s="34">
        <f t="shared" si="3"/>
        <v>23.979999999999997</v>
      </c>
      <c r="E50" s="34">
        <v>2.75</v>
      </c>
      <c r="F50" s="29">
        <f t="shared" si="5"/>
        <v>2.398E-3</v>
      </c>
      <c r="G50" s="29">
        <f t="shared" si="4"/>
        <v>2.3979999999999997</v>
      </c>
    </row>
    <row r="51" spans="3:7" x14ac:dyDescent="0.5">
      <c r="C51" s="34">
        <v>38.090000000000003</v>
      </c>
      <c r="D51" s="34">
        <f t="shared" si="3"/>
        <v>24.590000000000003</v>
      </c>
      <c r="E51" s="34">
        <v>2.8</v>
      </c>
      <c r="F51" s="29">
        <f t="shared" si="5"/>
        <v>2.4590000000000007E-3</v>
      </c>
      <c r="G51" s="29">
        <f t="shared" si="4"/>
        <v>2.4590000000000005</v>
      </c>
    </row>
    <row r="52" spans="3:7" x14ac:dyDescent="0.5">
      <c r="C52" s="34">
        <v>38.51</v>
      </c>
      <c r="D52" s="34">
        <f t="shared" si="3"/>
        <v>25.009999999999998</v>
      </c>
      <c r="E52" s="34">
        <v>2.84</v>
      </c>
      <c r="F52" s="29">
        <f t="shared" si="5"/>
        <v>2.5009999999999998E-3</v>
      </c>
      <c r="G52" s="29">
        <f t="shared" si="4"/>
        <v>2.5009999999999999</v>
      </c>
    </row>
    <row r="53" spans="3:7" x14ac:dyDescent="0.5">
      <c r="C53" s="34">
        <v>39.1</v>
      </c>
      <c r="D53" s="34">
        <f t="shared" si="3"/>
        <v>25.6</v>
      </c>
      <c r="E53" s="34">
        <v>2.9</v>
      </c>
      <c r="F53" s="29">
        <f t="shared" si="5"/>
        <v>2.5600000000000002E-3</v>
      </c>
      <c r="G53" s="29">
        <f t="shared" si="4"/>
        <v>2.56</v>
      </c>
    </row>
    <row r="54" spans="3:7" x14ac:dyDescent="0.5">
      <c r="C54" s="34">
        <v>39.49</v>
      </c>
      <c r="D54" s="34">
        <f t="shared" si="3"/>
        <v>25.990000000000002</v>
      </c>
      <c r="E54" s="34">
        <v>2.95</v>
      </c>
      <c r="F54" s="29">
        <f t="shared" si="5"/>
        <v>2.5990000000000006E-3</v>
      </c>
      <c r="G54" s="29">
        <f t="shared" si="4"/>
        <v>2.5990000000000006</v>
      </c>
    </row>
    <row r="55" spans="3:7" x14ac:dyDescent="0.5">
      <c r="C55" s="34">
        <v>40</v>
      </c>
      <c r="D55" s="34">
        <f t="shared" si="3"/>
        <v>26.5</v>
      </c>
      <c r="E55" s="34">
        <v>3.05</v>
      </c>
      <c r="F55" s="29">
        <f t="shared" si="5"/>
        <v>2.65E-3</v>
      </c>
      <c r="G55" s="29">
        <f t="shared" si="4"/>
        <v>2.65</v>
      </c>
    </row>
    <row r="56" spans="3:7" x14ac:dyDescent="0.5">
      <c r="C56" s="34">
        <v>40.51</v>
      </c>
      <c r="D56" s="34">
        <f t="shared" si="3"/>
        <v>27.009999999999998</v>
      </c>
      <c r="E56" s="34">
        <v>3.08</v>
      </c>
      <c r="F56" s="29">
        <f t="shared" si="5"/>
        <v>2.7010000000000003E-3</v>
      </c>
      <c r="G56" s="29">
        <f t="shared" si="4"/>
        <v>2.7010000000000001</v>
      </c>
    </row>
    <row r="57" spans="3:7" x14ac:dyDescent="0.5">
      <c r="C57" s="34">
        <v>40.94</v>
      </c>
      <c r="D57" s="34">
        <f t="shared" si="3"/>
        <v>27.439999999999998</v>
      </c>
      <c r="E57" s="34">
        <v>3.16</v>
      </c>
      <c r="F57" s="29">
        <f t="shared" si="5"/>
        <v>2.7439999999999999E-3</v>
      </c>
      <c r="G57" s="29">
        <f t="shared" si="4"/>
        <v>2.7439999999999998</v>
      </c>
    </row>
    <row r="58" spans="3:7" x14ac:dyDescent="0.5">
      <c r="C58" s="34">
        <v>41.42</v>
      </c>
      <c r="D58" s="34">
        <f t="shared" si="3"/>
        <v>27.92</v>
      </c>
      <c r="E58" s="34">
        <v>3.24</v>
      </c>
      <c r="F58" s="29">
        <f t="shared" si="5"/>
        <v>2.7920000000000002E-3</v>
      </c>
      <c r="G58" s="29">
        <f t="shared" si="4"/>
        <v>2.7920000000000003</v>
      </c>
    </row>
    <row r="59" spans="3:7" x14ac:dyDescent="0.5">
      <c r="C59" s="34">
        <v>42.01</v>
      </c>
      <c r="D59" s="34">
        <f t="shared" si="3"/>
        <v>28.509999999999998</v>
      </c>
      <c r="E59" s="34">
        <v>3.32</v>
      </c>
      <c r="F59" s="29">
        <f t="shared" si="5"/>
        <v>2.8509999999999998E-3</v>
      </c>
      <c r="G59" s="29">
        <f t="shared" si="4"/>
        <v>2.8509999999999995</v>
      </c>
    </row>
    <row r="60" spans="3:7" x14ac:dyDescent="0.5">
      <c r="C60" s="34">
        <v>43.02</v>
      </c>
      <c r="D60" s="34">
        <f t="shared" si="3"/>
        <v>29.520000000000003</v>
      </c>
      <c r="E60" s="34">
        <v>3.62</v>
      </c>
      <c r="F60" s="29">
        <f t="shared" si="5"/>
        <v>2.9520000000000006E-3</v>
      </c>
      <c r="G60" s="29">
        <f t="shared" si="4"/>
        <v>2.9520000000000004</v>
      </c>
    </row>
    <row r="61" spans="3:7" x14ac:dyDescent="0.5">
      <c r="C61" s="34">
        <v>44.1</v>
      </c>
      <c r="D61" s="34">
        <f t="shared" si="3"/>
        <v>30.6</v>
      </c>
      <c r="E61" s="34">
        <v>3.75</v>
      </c>
      <c r="F61" s="29">
        <f t="shared" si="5"/>
        <v>3.0600000000000002E-3</v>
      </c>
      <c r="G61" s="29">
        <f t="shared" si="4"/>
        <v>3.06</v>
      </c>
    </row>
    <row r="62" spans="3:7" x14ac:dyDescent="0.5">
      <c r="C62" s="34">
        <v>44.49</v>
      </c>
      <c r="D62" s="34">
        <f t="shared" si="3"/>
        <v>30.990000000000002</v>
      </c>
      <c r="E62" s="34">
        <v>3.82</v>
      </c>
      <c r="F62" s="29">
        <f t="shared" si="5"/>
        <v>3.0990000000000006E-3</v>
      </c>
      <c r="G62" s="29">
        <f t="shared" si="4"/>
        <v>3.0990000000000006</v>
      </c>
    </row>
    <row r="63" spans="3:7" x14ac:dyDescent="0.5">
      <c r="C63" s="34">
        <v>45.08</v>
      </c>
      <c r="D63" s="34">
        <f t="shared" si="3"/>
        <v>31.58</v>
      </c>
      <c r="E63" s="34">
        <v>3.94</v>
      </c>
      <c r="F63" s="29">
        <f t="shared" si="5"/>
        <v>3.1579999999999998E-3</v>
      </c>
      <c r="G63" s="29">
        <f t="shared" si="4"/>
        <v>3.1579999999999999</v>
      </c>
    </row>
    <row r="64" spans="3:7" x14ac:dyDescent="0.5">
      <c r="C64" s="34">
        <v>45.51</v>
      </c>
      <c r="D64" s="34">
        <f t="shared" si="3"/>
        <v>32.01</v>
      </c>
      <c r="E64" s="34">
        <v>4.01</v>
      </c>
      <c r="F64" s="29">
        <f t="shared" si="5"/>
        <v>3.2009999999999999E-3</v>
      </c>
      <c r="G64" s="29">
        <f t="shared" si="4"/>
        <v>3.2009999999999996</v>
      </c>
    </row>
    <row r="65" spans="1:7" x14ac:dyDescent="0.5">
      <c r="C65" s="34">
        <v>45.98</v>
      </c>
      <c r="D65" s="34">
        <f t="shared" si="3"/>
        <v>32.479999999999997</v>
      </c>
      <c r="E65" s="34">
        <v>4.08</v>
      </c>
      <c r="F65" s="29">
        <f t="shared" si="5"/>
        <v>3.2479999999999996E-3</v>
      </c>
      <c r="G65" s="29">
        <f t="shared" si="4"/>
        <v>3.2479999999999993</v>
      </c>
    </row>
    <row r="66" spans="1:7" x14ac:dyDescent="0.5">
      <c r="C66" s="34">
        <v>46.51</v>
      </c>
      <c r="D66" s="34">
        <f t="shared" ref="D66:D97" si="6">C66-$B$1</f>
        <v>33.01</v>
      </c>
      <c r="E66" s="34">
        <v>4.17</v>
      </c>
      <c r="F66" s="29">
        <f t="shared" si="5"/>
        <v>3.3010000000000001E-3</v>
      </c>
      <c r="G66" s="29">
        <f t="shared" ref="G66:G97" si="7">F66/$B$6</f>
        <v>3.3010000000000002</v>
      </c>
    </row>
    <row r="67" spans="1:7" x14ac:dyDescent="0.5">
      <c r="C67" s="34">
        <v>47</v>
      </c>
      <c r="D67" s="34">
        <f t="shared" si="6"/>
        <v>33.5</v>
      </c>
      <c r="E67" s="34">
        <v>4.26</v>
      </c>
      <c r="F67" s="29">
        <f t="shared" ref="F67:F103" si="8">(D67/1000)*($B$3)</f>
        <v>3.3500000000000005E-3</v>
      </c>
      <c r="G67" s="29">
        <f t="shared" si="7"/>
        <v>3.3500000000000005</v>
      </c>
    </row>
    <row r="68" spans="1:7" x14ac:dyDescent="0.5">
      <c r="C68" s="34">
        <v>47.5</v>
      </c>
      <c r="D68" s="34">
        <f t="shared" si="6"/>
        <v>34</v>
      </c>
      <c r="E68" s="34">
        <v>4.34</v>
      </c>
      <c r="F68" s="29">
        <f t="shared" si="8"/>
        <v>3.4000000000000002E-3</v>
      </c>
      <c r="G68" s="29">
        <f t="shared" si="7"/>
        <v>3.4000000000000004</v>
      </c>
    </row>
    <row r="69" spans="1:7" x14ac:dyDescent="0.5">
      <c r="C69" s="34">
        <v>47.98</v>
      </c>
      <c r="D69" s="34">
        <f t="shared" si="6"/>
        <v>34.479999999999997</v>
      </c>
      <c r="E69" s="34">
        <v>4.43</v>
      </c>
      <c r="F69" s="29">
        <f t="shared" si="8"/>
        <v>3.4479999999999997E-3</v>
      </c>
      <c r="G69" s="29">
        <f t="shared" si="7"/>
        <v>3.4479999999999995</v>
      </c>
    </row>
    <row r="70" spans="1:7" x14ac:dyDescent="0.5">
      <c r="C70" s="34">
        <v>48.52</v>
      </c>
      <c r="D70" s="34">
        <f t="shared" si="6"/>
        <v>35.020000000000003</v>
      </c>
      <c r="E70" s="34">
        <v>4.55</v>
      </c>
      <c r="F70" s="29">
        <f t="shared" si="8"/>
        <v>3.5020000000000003E-3</v>
      </c>
      <c r="G70" s="29">
        <f t="shared" si="7"/>
        <v>3.5020000000000002</v>
      </c>
    </row>
    <row r="71" spans="1:7" x14ac:dyDescent="0.5">
      <c r="C71" s="34">
        <v>48.99</v>
      </c>
      <c r="D71" s="34">
        <f t="shared" si="6"/>
        <v>35.49</v>
      </c>
      <c r="E71" s="34">
        <v>4.63</v>
      </c>
      <c r="F71" s="29">
        <f t="shared" si="8"/>
        <v>3.5490000000000001E-3</v>
      </c>
      <c r="G71" s="29">
        <f t="shared" si="7"/>
        <v>3.5489999999999999</v>
      </c>
    </row>
    <row r="72" spans="1:7" ht="16.149999999999999" thickBot="1" x14ac:dyDescent="0.55000000000000004">
      <c r="C72" s="34">
        <v>49.51</v>
      </c>
      <c r="D72" s="34">
        <f t="shared" si="6"/>
        <v>36.01</v>
      </c>
      <c r="E72" s="34">
        <v>4.75</v>
      </c>
      <c r="F72" s="29">
        <f t="shared" si="8"/>
        <v>3.601E-3</v>
      </c>
      <c r="G72" s="29">
        <f t="shared" si="7"/>
        <v>3.601</v>
      </c>
    </row>
    <row r="73" spans="1:7" ht="16.149999999999999" thickBot="1" x14ac:dyDescent="0.55000000000000004">
      <c r="A73" s="36" t="s">
        <v>54</v>
      </c>
      <c r="B73" s="37">
        <v>29.1</v>
      </c>
      <c r="C73" s="34">
        <v>29.1</v>
      </c>
      <c r="D73" s="34">
        <f t="shared" ref="D73:D103" si="9">$D$72 +C73-$B$73</f>
        <v>36.01</v>
      </c>
      <c r="E73" s="34">
        <v>4.76</v>
      </c>
      <c r="F73" s="29">
        <f t="shared" si="8"/>
        <v>3.601E-3</v>
      </c>
      <c r="G73" s="29">
        <f t="shared" si="7"/>
        <v>3.601</v>
      </c>
    </row>
    <row r="74" spans="1:7" x14ac:dyDescent="0.5">
      <c r="C74" s="34">
        <v>29.4</v>
      </c>
      <c r="D74" s="34">
        <f t="shared" si="9"/>
        <v>36.309999999999995</v>
      </c>
      <c r="E74" s="34">
        <v>4.87</v>
      </c>
      <c r="F74" s="29">
        <f t="shared" si="8"/>
        <v>3.6309999999999997E-3</v>
      </c>
      <c r="G74" s="29">
        <f t="shared" si="7"/>
        <v>3.6309999999999998</v>
      </c>
    </row>
    <row r="75" spans="1:7" x14ac:dyDescent="0.5">
      <c r="C75" s="34">
        <v>29.99</v>
      </c>
      <c r="D75" s="34">
        <f t="shared" si="9"/>
        <v>36.9</v>
      </c>
      <c r="E75" s="34">
        <v>5.0199999999999996</v>
      </c>
      <c r="F75" s="29">
        <f t="shared" si="8"/>
        <v>3.6899999999999997E-3</v>
      </c>
      <c r="G75" s="29">
        <f t="shared" si="7"/>
        <v>3.6899999999999995</v>
      </c>
    </row>
    <row r="76" spans="1:7" x14ac:dyDescent="0.5">
      <c r="C76" s="34">
        <v>30.5</v>
      </c>
      <c r="D76" s="34">
        <f t="shared" si="9"/>
        <v>37.409999999999989</v>
      </c>
      <c r="E76" s="34">
        <v>5.22</v>
      </c>
      <c r="F76" s="29">
        <f t="shared" si="8"/>
        <v>3.7409999999999995E-3</v>
      </c>
      <c r="G76" s="29">
        <f t="shared" si="7"/>
        <v>3.7409999999999997</v>
      </c>
    </row>
    <row r="77" spans="1:7" x14ac:dyDescent="0.5">
      <c r="C77" s="34">
        <v>30.99</v>
      </c>
      <c r="D77" s="34">
        <f t="shared" si="9"/>
        <v>37.9</v>
      </c>
      <c r="E77" s="34">
        <v>5.54</v>
      </c>
      <c r="F77" s="29">
        <f t="shared" si="8"/>
        <v>3.79E-3</v>
      </c>
      <c r="G77" s="29">
        <f t="shared" si="7"/>
        <v>3.79</v>
      </c>
    </row>
    <row r="78" spans="1:7" x14ac:dyDescent="0.5">
      <c r="C78" s="34">
        <v>31.49</v>
      </c>
      <c r="D78" s="34">
        <f t="shared" si="9"/>
        <v>38.4</v>
      </c>
      <c r="E78" s="34">
        <v>7.47</v>
      </c>
      <c r="F78" s="29">
        <f t="shared" si="8"/>
        <v>3.8399999999999997E-3</v>
      </c>
      <c r="G78" s="29">
        <f t="shared" si="7"/>
        <v>3.8399999999999994</v>
      </c>
    </row>
    <row r="79" spans="1:7" x14ac:dyDescent="0.5">
      <c r="C79" s="34">
        <v>31.95</v>
      </c>
      <c r="D79" s="34">
        <f t="shared" si="9"/>
        <v>38.859999999999992</v>
      </c>
      <c r="E79" s="34">
        <v>8.51</v>
      </c>
      <c r="F79" s="29">
        <f t="shared" si="8"/>
        <v>3.8859999999999993E-3</v>
      </c>
      <c r="G79" s="29">
        <f t="shared" si="7"/>
        <v>3.8859999999999992</v>
      </c>
    </row>
    <row r="80" spans="1:7" x14ac:dyDescent="0.5">
      <c r="C80" s="34">
        <v>32.619999999999997</v>
      </c>
      <c r="D80" s="34">
        <f t="shared" si="9"/>
        <v>39.529999999999994</v>
      </c>
      <c r="E80" s="34">
        <v>8.93</v>
      </c>
      <c r="F80" s="29">
        <f t="shared" si="8"/>
        <v>3.9529999999999999E-3</v>
      </c>
      <c r="G80" s="29">
        <f t="shared" si="7"/>
        <v>3.9529999999999998</v>
      </c>
    </row>
    <row r="81" spans="3:7" x14ac:dyDescent="0.5">
      <c r="C81" s="34">
        <v>33.090000000000003</v>
      </c>
      <c r="D81" s="34">
        <f t="shared" si="9"/>
        <v>39.999999999999993</v>
      </c>
      <c r="E81" s="34">
        <v>9.0399999999999991</v>
      </c>
      <c r="F81" s="29">
        <f t="shared" si="8"/>
        <v>3.9999999999999992E-3</v>
      </c>
      <c r="G81" s="29">
        <f t="shared" si="7"/>
        <v>3.9999999999999991</v>
      </c>
    </row>
    <row r="82" spans="3:7" x14ac:dyDescent="0.5">
      <c r="C82" s="34">
        <v>33.479999999999997</v>
      </c>
      <c r="D82" s="34">
        <f t="shared" si="9"/>
        <v>40.389999999999993</v>
      </c>
      <c r="E82" s="34">
        <v>9.15</v>
      </c>
      <c r="F82" s="29">
        <f t="shared" si="8"/>
        <v>4.0390000000000001E-3</v>
      </c>
      <c r="G82" s="29">
        <f t="shared" si="7"/>
        <v>4.0389999999999997</v>
      </c>
    </row>
    <row r="83" spans="3:7" x14ac:dyDescent="0.5">
      <c r="C83" s="34">
        <v>33.99</v>
      </c>
      <c r="D83" s="34">
        <f t="shared" si="9"/>
        <v>40.9</v>
      </c>
      <c r="E83" s="34">
        <v>9.2799999999999994</v>
      </c>
      <c r="F83" s="29">
        <f t="shared" si="8"/>
        <v>4.0899999999999999E-3</v>
      </c>
      <c r="G83" s="29">
        <f t="shared" si="7"/>
        <v>4.09</v>
      </c>
    </row>
    <row r="84" spans="3:7" x14ac:dyDescent="0.5">
      <c r="C84" s="34">
        <v>34.42</v>
      </c>
      <c r="D84" s="34">
        <f t="shared" si="9"/>
        <v>41.330000000000005</v>
      </c>
      <c r="E84" s="34">
        <v>9.3800000000000008</v>
      </c>
      <c r="F84" s="29">
        <f t="shared" si="8"/>
        <v>4.1330000000000004E-3</v>
      </c>
      <c r="G84" s="29">
        <f t="shared" si="7"/>
        <v>4.133</v>
      </c>
    </row>
    <row r="85" spans="3:7" x14ac:dyDescent="0.5">
      <c r="C85" s="34">
        <v>34.979999999999997</v>
      </c>
      <c r="D85" s="34">
        <f t="shared" si="9"/>
        <v>41.889999999999993</v>
      </c>
      <c r="E85" s="34">
        <v>9.4700000000000006</v>
      </c>
      <c r="F85" s="29">
        <f t="shared" si="8"/>
        <v>4.189E-3</v>
      </c>
      <c r="G85" s="29">
        <f t="shared" si="7"/>
        <v>4.1890000000000001</v>
      </c>
    </row>
    <row r="86" spans="3:7" x14ac:dyDescent="0.5">
      <c r="C86" s="34">
        <v>35.479999999999997</v>
      </c>
      <c r="D86" s="34">
        <f t="shared" si="9"/>
        <v>42.389999999999993</v>
      </c>
      <c r="E86" s="34">
        <v>9.57</v>
      </c>
      <c r="F86" s="29">
        <f t="shared" si="8"/>
        <v>4.2389999999999988E-3</v>
      </c>
      <c r="G86" s="29">
        <f t="shared" si="7"/>
        <v>4.238999999999999</v>
      </c>
    </row>
    <row r="87" spans="3:7" x14ac:dyDescent="0.5">
      <c r="C87" s="34">
        <v>36.020000000000003</v>
      </c>
      <c r="D87" s="34">
        <f t="shared" si="9"/>
        <v>42.93</v>
      </c>
      <c r="E87" s="34">
        <v>9.64</v>
      </c>
      <c r="F87" s="29">
        <f t="shared" si="8"/>
        <v>4.2930000000000008E-3</v>
      </c>
      <c r="G87" s="29">
        <f t="shared" si="7"/>
        <v>4.293000000000001</v>
      </c>
    </row>
    <row r="88" spans="3:7" x14ac:dyDescent="0.5">
      <c r="C88" s="34">
        <v>36.51</v>
      </c>
      <c r="D88" s="34">
        <f t="shared" si="9"/>
        <v>43.419999999999995</v>
      </c>
      <c r="E88" s="34">
        <v>9.74</v>
      </c>
      <c r="F88" s="29">
        <f t="shared" si="8"/>
        <v>4.3419999999999995E-3</v>
      </c>
      <c r="G88" s="29">
        <f t="shared" si="7"/>
        <v>4.3419999999999996</v>
      </c>
    </row>
    <row r="89" spans="3:7" x14ac:dyDescent="0.5">
      <c r="C89" s="34">
        <v>37</v>
      </c>
      <c r="D89" s="34">
        <f t="shared" si="9"/>
        <v>43.909999999999989</v>
      </c>
      <c r="E89" s="34">
        <v>9.82</v>
      </c>
      <c r="F89" s="29">
        <f t="shared" si="8"/>
        <v>4.3909999999999991E-3</v>
      </c>
      <c r="G89" s="29">
        <f t="shared" si="7"/>
        <v>4.3909999999999991</v>
      </c>
    </row>
    <row r="90" spans="3:7" x14ac:dyDescent="0.5">
      <c r="C90" s="34">
        <v>37.51</v>
      </c>
      <c r="D90" s="34">
        <f t="shared" si="9"/>
        <v>44.419999999999995</v>
      </c>
      <c r="E90" s="34">
        <v>9.89</v>
      </c>
      <c r="F90" s="29">
        <f t="shared" si="8"/>
        <v>4.4419999999999998E-3</v>
      </c>
      <c r="G90" s="29">
        <f t="shared" si="7"/>
        <v>4.4419999999999993</v>
      </c>
    </row>
    <row r="91" spans="3:7" x14ac:dyDescent="0.5">
      <c r="C91" s="34">
        <v>38.01</v>
      </c>
      <c r="D91" s="34">
        <f t="shared" si="9"/>
        <v>44.919999999999995</v>
      </c>
      <c r="E91" s="34">
        <v>9.98</v>
      </c>
      <c r="F91" s="29">
        <f t="shared" si="8"/>
        <v>4.4919999999999995E-3</v>
      </c>
      <c r="G91" s="29">
        <f t="shared" si="7"/>
        <v>4.4919999999999991</v>
      </c>
    </row>
    <row r="92" spans="3:7" x14ac:dyDescent="0.5">
      <c r="C92" s="34">
        <v>38.6</v>
      </c>
      <c r="D92" s="34">
        <f t="shared" si="9"/>
        <v>45.51</v>
      </c>
      <c r="E92" s="34">
        <v>10.07</v>
      </c>
      <c r="F92" s="29">
        <f t="shared" si="8"/>
        <v>4.5509999999999995E-3</v>
      </c>
      <c r="G92" s="29">
        <f t="shared" si="7"/>
        <v>4.5509999999999993</v>
      </c>
    </row>
    <row r="93" spans="3:7" x14ac:dyDescent="0.5">
      <c r="C93" s="34">
        <v>39.01</v>
      </c>
      <c r="D93" s="34">
        <f t="shared" si="9"/>
        <v>45.919999999999995</v>
      </c>
      <c r="E93" s="34">
        <v>10.15</v>
      </c>
      <c r="F93" s="29">
        <f t="shared" si="8"/>
        <v>4.5919999999999997E-3</v>
      </c>
      <c r="G93" s="29">
        <f t="shared" si="7"/>
        <v>4.5919999999999996</v>
      </c>
    </row>
    <row r="94" spans="3:7" x14ac:dyDescent="0.5">
      <c r="C94" s="34">
        <v>39.6</v>
      </c>
      <c r="D94" s="34">
        <f t="shared" si="9"/>
        <v>46.51</v>
      </c>
      <c r="E94" s="34">
        <v>10.25</v>
      </c>
      <c r="F94" s="29">
        <f t="shared" si="8"/>
        <v>4.6509999999999998E-3</v>
      </c>
      <c r="G94" s="29">
        <f t="shared" si="7"/>
        <v>4.6509999999999998</v>
      </c>
    </row>
    <row r="95" spans="3:7" x14ac:dyDescent="0.5">
      <c r="C95" s="34">
        <v>40.11</v>
      </c>
      <c r="D95" s="34">
        <f t="shared" si="9"/>
        <v>47.02</v>
      </c>
      <c r="E95" s="34">
        <v>10.36</v>
      </c>
      <c r="F95" s="29">
        <f t="shared" si="8"/>
        <v>4.7020000000000013E-3</v>
      </c>
      <c r="G95" s="29">
        <f t="shared" si="7"/>
        <v>4.7020000000000008</v>
      </c>
    </row>
    <row r="96" spans="3:7" x14ac:dyDescent="0.5">
      <c r="C96" s="34">
        <v>40.51</v>
      </c>
      <c r="D96" s="34">
        <f t="shared" si="9"/>
        <v>47.419999999999995</v>
      </c>
      <c r="E96" s="34">
        <v>10.44</v>
      </c>
      <c r="F96" s="29">
        <f t="shared" si="8"/>
        <v>4.7419999999999997E-3</v>
      </c>
      <c r="G96" s="29">
        <f t="shared" si="7"/>
        <v>4.742</v>
      </c>
    </row>
    <row r="97" spans="3:7" x14ac:dyDescent="0.5">
      <c r="C97" s="34">
        <v>41</v>
      </c>
      <c r="D97" s="34">
        <f t="shared" si="9"/>
        <v>47.909999999999989</v>
      </c>
      <c r="E97" s="34">
        <v>10.52</v>
      </c>
      <c r="F97" s="29">
        <f t="shared" si="8"/>
        <v>4.7909999999999993E-3</v>
      </c>
      <c r="G97" s="29">
        <f t="shared" si="7"/>
        <v>4.7909999999999995</v>
      </c>
    </row>
    <row r="98" spans="3:7" x14ac:dyDescent="0.5">
      <c r="C98" s="34">
        <v>41.2</v>
      </c>
      <c r="D98" s="34">
        <f t="shared" si="9"/>
        <v>48.110000000000007</v>
      </c>
      <c r="E98" s="34">
        <v>10.67</v>
      </c>
      <c r="F98" s="29">
        <f t="shared" si="8"/>
        <v>4.811000000000001E-3</v>
      </c>
      <c r="G98" s="29">
        <f t="shared" ref="G98:G129" si="10">F98/$B$6</f>
        <v>4.8110000000000008</v>
      </c>
    </row>
    <row r="99" spans="3:7" x14ac:dyDescent="0.5">
      <c r="C99" s="34">
        <v>42</v>
      </c>
      <c r="D99" s="34">
        <f t="shared" si="9"/>
        <v>48.909999999999989</v>
      </c>
      <c r="E99" s="34">
        <v>10.76</v>
      </c>
      <c r="F99" s="29">
        <f t="shared" si="8"/>
        <v>4.8909999999999995E-3</v>
      </c>
      <c r="G99" s="29">
        <f t="shared" si="10"/>
        <v>4.8909999999999991</v>
      </c>
    </row>
    <row r="100" spans="3:7" x14ac:dyDescent="0.5">
      <c r="C100" s="34">
        <v>42.61</v>
      </c>
      <c r="D100" s="34">
        <f t="shared" si="9"/>
        <v>49.52</v>
      </c>
      <c r="E100" s="34">
        <v>10.87</v>
      </c>
      <c r="F100" s="29">
        <f t="shared" si="8"/>
        <v>4.9520000000000007E-3</v>
      </c>
      <c r="G100" s="29">
        <f t="shared" si="10"/>
        <v>4.9520000000000008</v>
      </c>
    </row>
    <row r="101" spans="3:7" x14ac:dyDescent="0.5">
      <c r="C101" s="34">
        <v>43.02</v>
      </c>
      <c r="D101" s="34">
        <f t="shared" si="9"/>
        <v>49.93</v>
      </c>
      <c r="E101" s="34">
        <v>10.96</v>
      </c>
      <c r="F101" s="29">
        <f t="shared" si="8"/>
        <v>4.9930000000000009E-3</v>
      </c>
      <c r="G101" s="29">
        <f t="shared" si="10"/>
        <v>4.9930000000000012</v>
      </c>
    </row>
    <row r="102" spans="3:7" x14ac:dyDescent="0.5">
      <c r="C102" s="34">
        <v>43.52</v>
      </c>
      <c r="D102" s="34">
        <f t="shared" si="9"/>
        <v>50.43</v>
      </c>
      <c r="E102" s="34">
        <v>11.03</v>
      </c>
      <c r="F102" s="29">
        <f t="shared" si="8"/>
        <v>5.0430000000000006E-3</v>
      </c>
      <c r="G102" s="29">
        <f t="shared" si="10"/>
        <v>5.0430000000000001</v>
      </c>
    </row>
    <row r="103" spans="3:7" x14ac:dyDescent="0.5">
      <c r="C103" s="34">
        <v>44.01</v>
      </c>
      <c r="D103" s="34">
        <f t="shared" si="9"/>
        <v>50.919999999999995</v>
      </c>
      <c r="E103" s="34">
        <v>11.09</v>
      </c>
      <c r="F103" s="29">
        <f t="shared" si="8"/>
        <v>5.0919999999999993E-3</v>
      </c>
      <c r="G103" s="29">
        <f t="shared" si="10"/>
        <v>5.0919999999999996</v>
      </c>
    </row>
    <row r="104" spans="3:7" x14ac:dyDescent="0.5">
      <c r="C104" s="34"/>
      <c r="D104" s="34"/>
      <c r="E104" s="34"/>
      <c r="F104" s="29"/>
      <c r="G104" s="29"/>
    </row>
    <row r="105" spans="3:7" x14ac:dyDescent="0.5">
      <c r="C105" s="34"/>
      <c r="D105" s="34"/>
      <c r="E105" s="34"/>
      <c r="F105" s="29"/>
      <c r="G105" s="29"/>
    </row>
    <row r="106" spans="3:7" x14ac:dyDescent="0.5">
      <c r="C106" s="31"/>
      <c r="D106" s="31"/>
      <c r="E106" s="31"/>
      <c r="F106" s="31"/>
      <c r="G106" s="31"/>
    </row>
    <row r="107" spans="3:7" x14ac:dyDescent="0.5">
      <c r="C107" s="31"/>
      <c r="D107" s="31"/>
      <c r="E107" s="31"/>
      <c r="F107" s="31"/>
      <c r="G107" s="31"/>
    </row>
    <row r="108" spans="3:7" x14ac:dyDescent="0.5">
      <c r="C108" s="31"/>
      <c r="D108" s="31"/>
      <c r="E108" s="31"/>
      <c r="F108" s="31"/>
      <c r="G108" s="31"/>
    </row>
    <row r="109" spans="3:7" x14ac:dyDescent="0.5">
      <c r="C109" s="31"/>
      <c r="D109" s="31"/>
      <c r="E109" s="31"/>
      <c r="F109" s="31"/>
      <c r="G109" s="31"/>
    </row>
    <row r="110" spans="3:7" x14ac:dyDescent="0.5">
      <c r="C110" s="31"/>
      <c r="D110" s="31"/>
      <c r="E110" s="31"/>
      <c r="F110" s="31"/>
      <c r="G110" s="31"/>
    </row>
    <row r="111" spans="3:7" x14ac:dyDescent="0.5">
      <c r="C111" s="31"/>
      <c r="D111" s="31"/>
      <c r="E111" s="31"/>
      <c r="F111" s="31"/>
      <c r="G111" s="31"/>
    </row>
    <row r="112" spans="3:7" x14ac:dyDescent="0.5">
      <c r="C112" s="31"/>
      <c r="D112" s="31"/>
      <c r="E112" s="31"/>
      <c r="F112" s="31"/>
      <c r="G112" s="31"/>
    </row>
    <row r="113" spans="3:7" x14ac:dyDescent="0.5">
      <c r="C113" s="31"/>
      <c r="D113" s="31"/>
      <c r="E113" s="31"/>
      <c r="F113" s="31"/>
      <c r="G113" s="31"/>
    </row>
    <row r="114" spans="3:7" x14ac:dyDescent="0.5">
      <c r="C114" s="31"/>
      <c r="D114" s="31"/>
      <c r="E114" s="31"/>
      <c r="F114" s="31"/>
      <c r="G114" s="31"/>
    </row>
    <row r="115" spans="3:7" x14ac:dyDescent="0.5">
      <c r="C115" s="31"/>
      <c r="D115" s="31"/>
      <c r="E115" s="31"/>
      <c r="F115" s="31"/>
      <c r="G115" s="31"/>
    </row>
    <row r="116" spans="3:7" x14ac:dyDescent="0.5">
      <c r="C116" s="31"/>
      <c r="D116" s="31"/>
      <c r="E116" s="31"/>
      <c r="F116" s="31"/>
      <c r="G116" s="31"/>
    </row>
    <row r="117" spans="3:7" x14ac:dyDescent="0.5">
      <c r="C117" s="31"/>
      <c r="D117" s="31"/>
      <c r="E117" s="31"/>
      <c r="F117" s="31"/>
      <c r="G117" s="31"/>
    </row>
    <row r="118" spans="3:7" x14ac:dyDescent="0.5">
      <c r="C118" s="31"/>
      <c r="D118" s="31"/>
      <c r="E118" s="31"/>
      <c r="F118" s="31"/>
      <c r="G118" s="31"/>
    </row>
    <row r="119" spans="3:7" x14ac:dyDescent="0.5">
      <c r="C119" s="31"/>
      <c r="D119" s="31"/>
      <c r="E119" s="31"/>
      <c r="F119" s="31"/>
      <c r="G119" s="31"/>
    </row>
    <row r="120" spans="3:7" x14ac:dyDescent="0.5">
      <c r="C120" s="31"/>
      <c r="D120" s="31"/>
      <c r="E120" s="31"/>
      <c r="F120" s="31"/>
      <c r="G120" s="31"/>
    </row>
    <row r="121" spans="3:7" x14ac:dyDescent="0.5">
      <c r="C121" s="31"/>
      <c r="D121" s="31"/>
      <c r="E121" s="31"/>
      <c r="F121" s="31"/>
      <c r="G121" s="31"/>
    </row>
    <row r="122" spans="3:7" x14ac:dyDescent="0.5">
      <c r="C122" s="31"/>
      <c r="D122" s="31"/>
      <c r="E122" s="31"/>
      <c r="F122" s="31"/>
      <c r="G122" s="31"/>
    </row>
    <row r="123" spans="3:7" x14ac:dyDescent="0.5">
      <c r="C123" s="31"/>
      <c r="D123" s="31"/>
      <c r="E123" s="31"/>
      <c r="F123" s="31"/>
      <c r="G123" s="31"/>
    </row>
    <row r="124" spans="3:7" x14ac:dyDescent="0.5">
      <c r="C124" s="31"/>
      <c r="D124" s="31"/>
      <c r="E124" s="31"/>
      <c r="F124" s="31"/>
      <c r="G124" s="31"/>
    </row>
    <row r="125" spans="3:7" x14ac:dyDescent="0.5">
      <c r="C125" s="31"/>
      <c r="D125" s="31"/>
      <c r="E125" s="31"/>
      <c r="F125" s="31"/>
      <c r="G125" s="31"/>
    </row>
    <row r="126" spans="3:7" x14ac:dyDescent="0.5">
      <c r="C126" s="31"/>
      <c r="D126" s="31"/>
      <c r="E126" s="31"/>
      <c r="F126" s="31"/>
      <c r="G126" s="31"/>
    </row>
    <row r="127" spans="3:7" x14ac:dyDescent="0.5">
      <c r="C127" s="31"/>
      <c r="D127" s="31"/>
      <c r="E127" s="31"/>
      <c r="F127" s="31"/>
      <c r="G127" s="31"/>
    </row>
    <row r="128" spans="3:7" x14ac:dyDescent="0.5">
      <c r="C128" s="31"/>
      <c r="D128" s="31"/>
      <c r="E128" s="31"/>
      <c r="F128" s="31"/>
      <c r="G128" s="31"/>
    </row>
    <row r="129" spans="3:7" x14ac:dyDescent="0.5">
      <c r="C129" s="31"/>
      <c r="D129" s="31"/>
      <c r="E129" s="31"/>
      <c r="F129" s="31"/>
      <c r="G129" s="31"/>
    </row>
    <row r="130" spans="3:7" x14ac:dyDescent="0.5">
      <c r="C130" s="31"/>
      <c r="D130" s="31"/>
      <c r="E130" s="31"/>
      <c r="F130" s="31"/>
      <c r="G130" s="31"/>
    </row>
    <row r="131" spans="3:7" x14ac:dyDescent="0.5">
      <c r="C131" s="31"/>
      <c r="D131" s="31"/>
      <c r="E131" s="31"/>
      <c r="F131" s="31"/>
      <c r="G131" s="31"/>
    </row>
    <row r="132" spans="3:7" x14ac:dyDescent="0.5">
      <c r="C132" s="31"/>
      <c r="D132" s="31"/>
      <c r="E132" s="31"/>
      <c r="F132" s="31"/>
      <c r="G132" s="31"/>
    </row>
    <row r="133" spans="3:7" x14ac:dyDescent="0.5">
      <c r="C133" s="31"/>
      <c r="D133" s="31"/>
      <c r="E133" s="31"/>
      <c r="F133" s="31"/>
      <c r="G133" s="31"/>
    </row>
    <row r="134" spans="3:7" x14ac:dyDescent="0.5">
      <c r="C134" s="31"/>
      <c r="D134" s="31"/>
      <c r="E134" s="31"/>
      <c r="F134" s="31"/>
      <c r="G134" s="31"/>
    </row>
    <row r="135" spans="3:7" x14ac:dyDescent="0.5">
      <c r="C135" s="31"/>
      <c r="D135" s="31"/>
      <c r="E135" s="31"/>
      <c r="F135" s="31"/>
      <c r="G135" s="31"/>
    </row>
    <row r="136" spans="3:7" x14ac:dyDescent="0.5">
      <c r="C136" s="31"/>
      <c r="D136" s="31"/>
      <c r="E136" s="31"/>
      <c r="F136" s="31"/>
      <c r="G136" s="31"/>
    </row>
    <row r="137" spans="3:7" x14ac:dyDescent="0.5">
      <c r="C137" s="31"/>
      <c r="D137" s="31"/>
      <c r="E137" s="31"/>
      <c r="F137" s="31"/>
      <c r="G137" s="31"/>
    </row>
    <row r="138" spans="3:7" x14ac:dyDescent="0.5">
      <c r="C138" s="31"/>
      <c r="D138" s="31"/>
      <c r="E138" s="31"/>
      <c r="F138" s="31"/>
      <c r="G138" s="31"/>
    </row>
  </sheetData>
  <mergeCells count="6">
    <mergeCell ref="R28:S28"/>
    <mergeCell ref="R3:S3"/>
    <mergeCell ref="R8:S8"/>
    <mergeCell ref="R13:S13"/>
    <mergeCell ref="R18:S18"/>
    <mergeCell ref="R23:S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1FD4-9490-9E48-A64C-7B2A8E7A7663}">
  <sheetPr>
    <tabColor theme="8"/>
  </sheetPr>
  <dimension ref="A1:S138"/>
  <sheetViews>
    <sheetView tabSelected="1" topLeftCell="A54" zoomScale="85" zoomScaleNormal="100" workbookViewId="0">
      <selection activeCell="E68" sqref="E68"/>
    </sheetView>
  </sheetViews>
  <sheetFormatPr defaultColWidth="11" defaultRowHeight="15.75" x14ac:dyDescent="0.5"/>
  <cols>
    <col min="1" max="1" width="25.3125" customWidth="1"/>
    <col min="2" max="2" width="13.8125" customWidth="1"/>
    <col min="3" max="8" width="21.5" style="10" customWidth="1"/>
  </cols>
  <sheetData>
    <row r="1" spans="1:19" ht="26.65" x14ac:dyDescent="0.5">
      <c r="A1" s="24" t="s">
        <v>23</v>
      </c>
      <c r="B1" s="25">
        <v>2.25</v>
      </c>
      <c r="C1" s="26" t="s">
        <v>24</v>
      </c>
      <c r="D1" s="27" t="s">
        <v>25</v>
      </c>
      <c r="E1" s="27" t="s">
        <v>26</v>
      </c>
      <c r="F1" s="27" t="s">
        <v>27</v>
      </c>
      <c r="G1" s="27" t="s">
        <v>28</v>
      </c>
    </row>
    <row r="2" spans="1:19" x14ac:dyDescent="0.5">
      <c r="A2" s="24" t="s">
        <v>29</v>
      </c>
      <c r="B2" s="28">
        <v>2.0499999999999998</v>
      </c>
      <c r="C2" s="29">
        <f>B1</f>
        <v>2.25</v>
      </c>
      <c r="D2" s="29">
        <f t="shared" ref="D2:D33" si="0">C2-$B$1</f>
        <v>0</v>
      </c>
      <c r="E2" s="29">
        <v>2.0499999999999998</v>
      </c>
      <c r="F2" s="29">
        <f>(D2)*($B$3)</f>
        <v>0</v>
      </c>
      <c r="G2" s="29">
        <f t="shared" ref="G2:G33" si="1">F2/$B$6</f>
        <v>0</v>
      </c>
    </row>
    <row r="3" spans="1:19" ht="34.049999999999997" customHeight="1" x14ac:dyDescent="0.5">
      <c r="A3" s="24" t="s">
        <v>30</v>
      </c>
      <c r="B3" s="28">
        <v>0.1</v>
      </c>
      <c r="C3" s="29">
        <v>2.99</v>
      </c>
      <c r="D3" s="29">
        <f t="shared" si="0"/>
        <v>0.74000000000000021</v>
      </c>
      <c r="E3" s="29">
        <v>2.06</v>
      </c>
      <c r="F3" s="29">
        <f t="shared" ref="F3:F34" si="2">(D3/1000)*($B$3)</f>
        <v>7.4000000000000023E-5</v>
      </c>
      <c r="G3" s="29">
        <f t="shared" si="1"/>
        <v>7.4000000000000024E-2</v>
      </c>
      <c r="R3" s="41" t="s">
        <v>48</v>
      </c>
      <c r="S3" s="41"/>
    </row>
    <row r="4" spans="1:19" x14ac:dyDescent="0.5">
      <c r="A4" s="24" t="s">
        <v>31</v>
      </c>
      <c r="B4" s="28">
        <v>0.1</v>
      </c>
      <c r="C4" s="29">
        <v>3.52</v>
      </c>
      <c r="D4" s="29">
        <f t="shared" si="0"/>
        <v>1.27</v>
      </c>
      <c r="E4" s="29">
        <v>2.0699999999999998</v>
      </c>
      <c r="F4" s="29">
        <f t="shared" si="2"/>
        <v>1.2700000000000002E-4</v>
      </c>
      <c r="G4" s="29">
        <f t="shared" si="1"/>
        <v>0.12700000000000003</v>
      </c>
      <c r="R4" s="18" t="s">
        <v>32</v>
      </c>
      <c r="S4" s="18" t="s">
        <v>33</v>
      </c>
    </row>
    <row r="5" spans="1:19" x14ac:dyDescent="0.5">
      <c r="A5" s="24" t="s">
        <v>34</v>
      </c>
      <c r="B5" s="28">
        <v>10</v>
      </c>
      <c r="C5" s="29">
        <v>4.01</v>
      </c>
      <c r="D5" s="29">
        <f t="shared" si="0"/>
        <v>1.7599999999999998</v>
      </c>
      <c r="E5" s="29">
        <v>2.08</v>
      </c>
      <c r="F5" s="29">
        <f t="shared" si="2"/>
        <v>1.76E-4</v>
      </c>
      <c r="G5" s="29">
        <f t="shared" si="1"/>
        <v>0.17599999999999999</v>
      </c>
      <c r="R5">
        <v>1.927</v>
      </c>
      <c r="S5">
        <v>2.56</v>
      </c>
    </row>
    <row r="6" spans="1:19" x14ac:dyDescent="0.5">
      <c r="A6" s="24" t="s">
        <v>35</v>
      </c>
      <c r="B6" s="28">
        <f>B4*(B5/1000)</f>
        <v>1E-3</v>
      </c>
      <c r="C6" s="29">
        <v>4.51</v>
      </c>
      <c r="D6" s="29">
        <f t="shared" si="0"/>
        <v>2.2599999999999998</v>
      </c>
      <c r="E6" s="29">
        <v>2.09</v>
      </c>
      <c r="F6" s="29">
        <f t="shared" si="2"/>
        <v>2.2599999999999999E-4</v>
      </c>
      <c r="G6" s="29">
        <f t="shared" si="1"/>
        <v>0.22599999999999998</v>
      </c>
    </row>
    <row r="7" spans="1:19" x14ac:dyDescent="0.5">
      <c r="A7" s="30"/>
      <c r="B7" s="30"/>
      <c r="C7" s="29">
        <v>5.1100000000000003</v>
      </c>
      <c r="D7" s="29">
        <f t="shared" si="0"/>
        <v>2.8600000000000003</v>
      </c>
      <c r="E7" s="29">
        <v>2.1</v>
      </c>
      <c r="F7" s="29">
        <f t="shared" si="2"/>
        <v>2.8600000000000001E-4</v>
      </c>
      <c r="G7" s="29">
        <f t="shared" si="1"/>
        <v>0.28600000000000003</v>
      </c>
    </row>
    <row r="8" spans="1:19" x14ac:dyDescent="0.5">
      <c r="A8" s="30"/>
      <c r="B8" s="30"/>
      <c r="C8" s="29">
        <v>5.52</v>
      </c>
      <c r="D8" s="29">
        <f t="shared" si="0"/>
        <v>3.2699999999999996</v>
      </c>
      <c r="E8" s="29">
        <v>2.11</v>
      </c>
      <c r="F8" s="29">
        <f t="shared" si="2"/>
        <v>3.2699999999999998E-4</v>
      </c>
      <c r="G8" s="29">
        <f t="shared" si="1"/>
        <v>0.32699999999999996</v>
      </c>
      <c r="R8" s="40" t="s">
        <v>49</v>
      </c>
      <c r="S8" s="40"/>
    </row>
    <row r="9" spans="1:19" x14ac:dyDescent="0.5">
      <c r="A9" s="30"/>
      <c r="B9" s="30"/>
      <c r="C9" s="29">
        <v>6</v>
      </c>
      <c r="D9" s="29">
        <f t="shared" si="0"/>
        <v>3.75</v>
      </c>
      <c r="E9" s="29">
        <v>2.12</v>
      </c>
      <c r="F9" s="29">
        <f t="shared" si="2"/>
        <v>3.7500000000000001E-4</v>
      </c>
      <c r="G9" s="29">
        <f t="shared" si="1"/>
        <v>0.375</v>
      </c>
      <c r="R9" s="18" t="s">
        <v>32</v>
      </c>
      <c r="S9" s="18" t="s">
        <v>33</v>
      </c>
    </row>
    <row r="10" spans="1:19" x14ac:dyDescent="0.5">
      <c r="A10" s="30"/>
      <c r="B10" s="30"/>
      <c r="C10" s="29">
        <v>6.59</v>
      </c>
      <c r="D10" s="29">
        <f t="shared" si="0"/>
        <v>4.34</v>
      </c>
      <c r="E10" s="29">
        <v>2.12</v>
      </c>
      <c r="F10" s="29">
        <f t="shared" si="2"/>
        <v>4.3400000000000003E-4</v>
      </c>
      <c r="G10" s="29">
        <f t="shared" si="1"/>
        <v>0.434</v>
      </c>
      <c r="R10">
        <v>1.58</v>
      </c>
      <c r="S10">
        <v>2.41</v>
      </c>
    </row>
    <row r="11" spans="1:19" x14ac:dyDescent="0.5">
      <c r="A11" s="30"/>
      <c r="B11" s="30"/>
      <c r="C11" s="29">
        <v>6.99</v>
      </c>
      <c r="D11" s="29">
        <f t="shared" si="0"/>
        <v>4.74</v>
      </c>
      <c r="E11" s="29">
        <v>2.13</v>
      </c>
      <c r="F11" s="29">
        <f t="shared" si="2"/>
        <v>4.7400000000000003E-4</v>
      </c>
      <c r="G11" s="29">
        <f t="shared" si="1"/>
        <v>0.47400000000000003</v>
      </c>
    </row>
    <row r="12" spans="1:19" x14ac:dyDescent="0.5">
      <c r="A12" s="30"/>
      <c r="B12" s="30"/>
      <c r="C12" s="29">
        <v>7.45</v>
      </c>
      <c r="D12" s="29">
        <f t="shared" si="0"/>
        <v>5.2</v>
      </c>
      <c r="E12" s="29">
        <v>2.14</v>
      </c>
      <c r="F12" s="29">
        <f t="shared" si="2"/>
        <v>5.1999999999999995E-4</v>
      </c>
      <c r="G12" s="29">
        <f t="shared" si="1"/>
        <v>0.51999999999999991</v>
      </c>
    </row>
    <row r="13" spans="1:19" x14ac:dyDescent="0.5">
      <c r="A13" s="30"/>
      <c r="B13" s="30"/>
      <c r="C13" s="29">
        <v>8</v>
      </c>
      <c r="D13" s="29">
        <f t="shared" si="0"/>
        <v>5.75</v>
      </c>
      <c r="E13" s="29">
        <v>2.15</v>
      </c>
      <c r="F13" s="29">
        <f t="shared" si="2"/>
        <v>5.7499999999999999E-4</v>
      </c>
      <c r="G13" s="29">
        <f t="shared" si="1"/>
        <v>0.57499999999999996</v>
      </c>
      <c r="R13" s="41" t="s">
        <v>50</v>
      </c>
      <c r="S13" s="41"/>
    </row>
    <row r="14" spans="1:19" x14ac:dyDescent="0.5">
      <c r="A14" s="30"/>
      <c r="B14" s="30"/>
      <c r="C14" s="29">
        <v>8.51</v>
      </c>
      <c r="D14" s="29">
        <f t="shared" si="0"/>
        <v>6.26</v>
      </c>
      <c r="E14" s="29">
        <v>2.16</v>
      </c>
      <c r="F14" s="29">
        <f t="shared" si="2"/>
        <v>6.2600000000000004E-4</v>
      </c>
      <c r="G14" s="29">
        <f t="shared" si="1"/>
        <v>0.626</v>
      </c>
      <c r="R14" s="18" t="s">
        <v>32</v>
      </c>
      <c r="S14" s="18" t="s">
        <v>33</v>
      </c>
    </row>
    <row r="15" spans="1:19" x14ac:dyDescent="0.5">
      <c r="A15" s="30"/>
      <c r="B15" s="30"/>
      <c r="C15" s="29">
        <v>9.01</v>
      </c>
      <c r="D15" s="29">
        <f t="shared" si="0"/>
        <v>6.76</v>
      </c>
      <c r="E15" s="29">
        <v>2.17</v>
      </c>
      <c r="F15" s="29">
        <f t="shared" si="2"/>
        <v>6.7599999999999995E-4</v>
      </c>
      <c r="G15" s="29">
        <f t="shared" si="1"/>
        <v>0.67599999999999993</v>
      </c>
      <c r="R15">
        <v>2.63</v>
      </c>
      <c r="S15">
        <v>4.7300000000000004</v>
      </c>
    </row>
    <row r="16" spans="1:19" x14ac:dyDescent="0.5">
      <c r="A16" s="30"/>
      <c r="B16" s="30"/>
      <c r="C16" s="29">
        <v>9.52</v>
      </c>
      <c r="D16" s="29">
        <f t="shared" si="0"/>
        <v>7.27</v>
      </c>
      <c r="E16" s="29">
        <v>2.1800000000000002</v>
      </c>
      <c r="F16" s="29">
        <f t="shared" si="2"/>
        <v>7.27E-4</v>
      </c>
      <c r="G16" s="29">
        <f t="shared" si="1"/>
        <v>0.72699999999999998</v>
      </c>
    </row>
    <row r="17" spans="1:19" x14ac:dyDescent="0.5">
      <c r="A17" s="30"/>
      <c r="B17" s="30"/>
      <c r="C17" s="29">
        <v>10</v>
      </c>
      <c r="D17" s="29">
        <f t="shared" si="0"/>
        <v>7.75</v>
      </c>
      <c r="E17" s="29">
        <v>2.1800000000000002</v>
      </c>
      <c r="F17" s="29">
        <f t="shared" si="2"/>
        <v>7.7500000000000008E-4</v>
      </c>
      <c r="G17" s="29">
        <f t="shared" si="1"/>
        <v>0.77500000000000002</v>
      </c>
    </row>
    <row r="18" spans="1:19" x14ac:dyDescent="0.5">
      <c r="A18" s="30"/>
      <c r="B18" s="30"/>
      <c r="C18" s="29">
        <v>10.5</v>
      </c>
      <c r="D18" s="29">
        <f t="shared" si="0"/>
        <v>8.25</v>
      </c>
      <c r="E18" s="29">
        <v>2.19</v>
      </c>
      <c r="F18" s="29">
        <f t="shared" si="2"/>
        <v>8.250000000000001E-4</v>
      </c>
      <c r="G18" s="29">
        <f t="shared" si="1"/>
        <v>0.82500000000000007</v>
      </c>
      <c r="R18" s="40" t="s">
        <v>51</v>
      </c>
      <c r="S18" s="40"/>
    </row>
    <row r="19" spans="1:19" x14ac:dyDescent="0.5">
      <c r="A19" s="30"/>
      <c r="B19" s="30"/>
      <c r="C19" s="29">
        <v>11.09</v>
      </c>
      <c r="D19" s="29">
        <f t="shared" si="0"/>
        <v>8.84</v>
      </c>
      <c r="E19" s="29">
        <v>2.2000000000000002</v>
      </c>
      <c r="F19" s="29">
        <f t="shared" si="2"/>
        <v>8.8400000000000013E-4</v>
      </c>
      <c r="G19" s="29">
        <f t="shared" si="1"/>
        <v>0.88400000000000012</v>
      </c>
      <c r="R19" s="18" t="s">
        <v>32</v>
      </c>
      <c r="S19" s="18" t="s">
        <v>33</v>
      </c>
    </row>
    <row r="20" spans="1:19" x14ac:dyDescent="0.5">
      <c r="A20" s="30"/>
      <c r="B20" s="30"/>
      <c r="C20" s="29">
        <v>11.51</v>
      </c>
      <c r="D20" s="29">
        <f t="shared" si="0"/>
        <v>9.26</v>
      </c>
      <c r="E20" s="29">
        <v>2.21</v>
      </c>
      <c r="F20" s="29">
        <f t="shared" si="2"/>
        <v>9.2599999999999996E-4</v>
      </c>
      <c r="G20" s="29">
        <f t="shared" si="1"/>
        <v>0.92599999999999993</v>
      </c>
      <c r="R20">
        <v>2.2829999999999999</v>
      </c>
      <c r="S20">
        <v>2.84</v>
      </c>
    </row>
    <row r="21" spans="1:19" x14ac:dyDescent="0.5">
      <c r="A21" s="30"/>
      <c r="B21" s="30"/>
      <c r="C21" s="29">
        <v>12</v>
      </c>
      <c r="D21" s="29">
        <f t="shared" si="0"/>
        <v>9.75</v>
      </c>
      <c r="E21" s="29">
        <v>2.2200000000000002</v>
      </c>
      <c r="F21" s="29">
        <f t="shared" si="2"/>
        <v>9.7500000000000006E-4</v>
      </c>
      <c r="G21" s="29">
        <f t="shared" si="1"/>
        <v>0.97500000000000009</v>
      </c>
    </row>
    <row r="22" spans="1:19" x14ac:dyDescent="0.5">
      <c r="C22" s="29">
        <v>12.49</v>
      </c>
      <c r="D22" s="29">
        <f t="shared" si="0"/>
        <v>10.24</v>
      </c>
      <c r="E22" s="29">
        <v>2.23</v>
      </c>
      <c r="F22" s="29">
        <f t="shared" si="2"/>
        <v>1.0240000000000002E-3</v>
      </c>
      <c r="G22" s="29">
        <f t="shared" si="1"/>
        <v>1.0240000000000002</v>
      </c>
    </row>
    <row r="23" spans="1:19" x14ac:dyDescent="0.5">
      <c r="C23" s="29">
        <v>13</v>
      </c>
      <c r="D23" s="29">
        <f t="shared" si="0"/>
        <v>10.75</v>
      </c>
      <c r="E23" s="29">
        <v>2.25</v>
      </c>
      <c r="F23" s="29">
        <f t="shared" si="2"/>
        <v>1.075E-3</v>
      </c>
      <c r="G23" s="29">
        <f t="shared" si="1"/>
        <v>1.075</v>
      </c>
      <c r="R23" s="41" t="s">
        <v>52</v>
      </c>
      <c r="S23" s="41"/>
    </row>
    <row r="24" spans="1:19" x14ac:dyDescent="0.5">
      <c r="C24" s="29">
        <v>13.6</v>
      </c>
      <c r="D24" s="29">
        <f t="shared" si="0"/>
        <v>11.35</v>
      </c>
      <c r="E24" s="29">
        <v>2.2599999999999998</v>
      </c>
      <c r="F24" s="29">
        <f t="shared" si="2"/>
        <v>1.1349999999999999E-3</v>
      </c>
      <c r="G24" s="29">
        <f t="shared" si="1"/>
        <v>1.135</v>
      </c>
      <c r="R24" s="18" t="s">
        <v>32</v>
      </c>
      <c r="S24" s="18" t="s">
        <v>33</v>
      </c>
    </row>
    <row r="25" spans="1:19" x14ac:dyDescent="0.5">
      <c r="C25" s="29">
        <v>13.99</v>
      </c>
      <c r="D25" s="29">
        <f t="shared" si="0"/>
        <v>11.74</v>
      </c>
      <c r="E25" s="29">
        <v>2.27</v>
      </c>
      <c r="F25" s="29">
        <f t="shared" si="2"/>
        <v>1.1740000000000001E-3</v>
      </c>
      <c r="G25" s="29">
        <f t="shared" si="1"/>
        <v>1.1740000000000002</v>
      </c>
      <c r="R25">
        <v>3.3260000000000001</v>
      </c>
      <c r="S25">
        <v>8</v>
      </c>
    </row>
    <row r="26" spans="1:19" x14ac:dyDescent="0.5">
      <c r="C26" s="29">
        <v>14.54</v>
      </c>
      <c r="D26" s="29">
        <f t="shared" si="0"/>
        <v>12.29</v>
      </c>
      <c r="E26" s="29">
        <v>2.29</v>
      </c>
      <c r="F26" s="29">
        <f t="shared" si="2"/>
        <v>1.2290000000000001E-3</v>
      </c>
      <c r="G26" s="29">
        <f t="shared" si="1"/>
        <v>1.2290000000000001</v>
      </c>
    </row>
    <row r="27" spans="1:19" x14ac:dyDescent="0.5">
      <c r="C27" s="29">
        <v>15.01</v>
      </c>
      <c r="D27" s="29">
        <f t="shared" si="0"/>
        <v>12.76</v>
      </c>
      <c r="E27" s="29">
        <v>2.2999999999999998</v>
      </c>
      <c r="F27" s="29">
        <f t="shared" si="2"/>
        <v>1.2760000000000002E-3</v>
      </c>
      <c r="G27" s="29">
        <f t="shared" si="1"/>
        <v>1.2760000000000002</v>
      </c>
    </row>
    <row r="28" spans="1:19" x14ac:dyDescent="0.5">
      <c r="C28" s="29">
        <v>15.61</v>
      </c>
      <c r="D28" s="29">
        <f t="shared" si="0"/>
        <v>13.36</v>
      </c>
      <c r="E28" s="29">
        <v>2.3199999999999998</v>
      </c>
      <c r="F28" s="29">
        <f t="shared" si="2"/>
        <v>1.3359999999999999E-3</v>
      </c>
      <c r="G28" s="29">
        <f t="shared" si="1"/>
        <v>1.3359999999999999</v>
      </c>
      <c r="R28" s="40" t="s">
        <v>53</v>
      </c>
      <c r="S28" s="40"/>
    </row>
    <row r="29" spans="1:19" x14ac:dyDescent="0.5">
      <c r="C29" s="29">
        <v>16.05</v>
      </c>
      <c r="D29" s="29">
        <f t="shared" si="0"/>
        <v>13.8</v>
      </c>
      <c r="E29" s="29">
        <v>2.34</v>
      </c>
      <c r="F29" s="29">
        <f t="shared" si="2"/>
        <v>1.3800000000000002E-3</v>
      </c>
      <c r="G29" s="29">
        <f t="shared" si="1"/>
        <v>1.3800000000000001</v>
      </c>
      <c r="R29" s="18" t="s">
        <v>32</v>
      </c>
      <c r="S29" s="18" t="s">
        <v>33</v>
      </c>
    </row>
    <row r="30" spans="1:19" x14ac:dyDescent="0.5">
      <c r="C30" s="29">
        <v>16.59</v>
      </c>
      <c r="D30" s="29">
        <f t="shared" si="0"/>
        <v>14.34</v>
      </c>
      <c r="E30" s="29">
        <v>2.35</v>
      </c>
      <c r="F30" s="29">
        <f t="shared" si="2"/>
        <v>1.4340000000000002E-3</v>
      </c>
      <c r="G30" s="29">
        <f t="shared" si="1"/>
        <v>1.4340000000000002</v>
      </c>
      <c r="R30">
        <v>2.9769999999999999</v>
      </c>
      <c r="S30">
        <v>6.2</v>
      </c>
    </row>
    <row r="31" spans="1:19" x14ac:dyDescent="0.5">
      <c r="C31" s="29">
        <v>17.02</v>
      </c>
      <c r="D31" s="29">
        <f t="shared" si="0"/>
        <v>14.77</v>
      </c>
      <c r="E31" s="29">
        <v>2.37</v>
      </c>
      <c r="F31" s="29">
        <f t="shared" si="2"/>
        <v>1.477E-3</v>
      </c>
      <c r="G31" s="29">
        <f t="shared" si="1"/>
        <v>1.4770000000000001</v>
      </c>
    </row>
    <row r="32" spans="1:19" x14ac:dyDescent="0.5">
      <c r="C32" s="29">
        <v>17.52</v>
      </c>
      <c r="D32" s="29">
        <f t="shared" si="0"/>
        <v>15.27</v>
      </c>
      <c r="E32" s="29">
        <v>2.39</v>
      </c>
      <c r="F32" s="29">
        <f t="shared" si="2"/>
        <v>1.5269999999999999E-3</v>
      </c>
      <c r="G32" s="29">
        <f t="shared" si="1"/>
        <v>1.5269999999999999</v>
      </c>
    </row>
    <row r="33" spans="3:7" x14ac:dyDescent="0.5">
      <c r="C33" s="29">
        <v>18.05</v>
      </c>
      <c r="D33" s="29">
        <f t="shared" si="0"/>
        <v>15.8</v>
      </c>
      <c r="E33" s="29">
        <v>2.41</v>
      </c>
      <c r="F33" s="29">
        <f t="shared" si="2"/>
        <v>1.5800000000000002E-3</v>
      </c>
      <c r="G33" s="29">
        <f t="shared" si="1"/>
        <v>1.5800000000000003</v>
      </c>
    </row>
    <row r="34" spans="3:7" x14ac:dyDescent="0.5">
      <c r="C34" s="29">
        <v>18.559999999999999</v>
      </c>
      <c r="D34" s="29">
        <f t="shared" ref="D34:D65" si="3">C34-$B$1</f>
        <v>16.309999999999999</v>
      </c>
      <c r="E34" s="29">
        <v>2.42</v>
      </c>
      <c r="F34" s="29">
        <f t="shared" si="2"/>
        <v>1.6309999999999999E-3</v>
      </c>
      <c r="G34" s="29">
        <f t="shared" ref="G34:G65" si="4">F34/$B$6</f>
        <v>1.6309999999999998</v>
      </c>
    </row>
    <row r="35" spans="3:7" x14ac:dyDescent="0.5">
      <c r="C35" s="29">
        <v>19.02</v>
      </c>
      <c r="D35" s="29">
        <f t="shared" si="3"/>
        <v>16.77</v>
      </c>
      <c r="E35" s="29">
        <v>2.44</v>
      </c>
      <c r="F35" s="29">
        <f t="shared" ref="F35:F66" si="5">(D35/1000)*($B$3)</f>
        <v>1.6770000000000001E-3</v>
      </c>
      <c r="G35" s="29">
        <f t="shared" si="4"/>
        <v>1.677</v>
      </c>
    </row>
    <row r="36" spans="3:7" x14ac:dyDescent="0.5">
      <c r="C36" s="29">
        <v>19.61</v>
      </c>
      <c r="D36" s="29">
        <f t="shared" si="3"/>
        <v>17.36</v>
      </c>
      <c r="E36" s="29">
        <v>2.46</v>
      </c>
      <c r="F36" s="29">
        <f t="shared" si="5"/>
        <v>1.7360000000000001E-3</v>
      </c>
      <c r="G36" s="29">
        <f t="shared" si="4"/>
        <v>1.736</v>
      </c>
    </row>
    <row r="37" spans="3:7" x14ac:dyDescent="0.5">
      <c r="C37" s="29">
        <v>20</v>
      </c>
      <c r="D37" s="29">
        <f t="shared" si="3"/>
        <v>17.75</v>
      </c>
      <c r="E37" s="29">
        <v>2.48</v>
      </c>
      <c r="F37" s="29">
        <f t="shared" si="5"/>
        <v>1.7749999999999999E-3</v>
      </c>
      <c r="G37" s="29">
        <f t="shared" si="4"/>
        <v>1.7749999999999999</v>
      </c>
    </row>
    <row r="38" spans="3:7" x14ac:dyDescent="0.5">
      <c r="C38" s="29">
        <v>20.51</v>
      </c>
      <c r="D38" s="29">
        <f t="shared" si="3"/>
        <v>18.260000000000002</v>
      </c>
      <c r="E38" s="29">
        <v>2.5099999999999998</v>
      </c>
      <c r="F38" s="29">
        <f t="shared" si="5"/>
        <v>1.8260000000000004E-3</v>
      </c>
      <c r="G38" s="29">
        <f t="shared" si="4"/>
        <v>1.8260000000000003</v>
      </c>
    </row>
    <row r="39" spans="3:7" x14ac:dyDescent="0.5">
      <c r="C39" s="29">
        <v>21.08</v>
      </c>
      <c r="D39" s="29">
        <f t="shared" si="3"/>
        <v>18.829999999999998</v>
      </c>
      <c r="E39" s="29">
        <v>2.54</v>
      </c>
      <c r="F39" s="29">
        <f t="shared" si="5"/>
        <v>1.8830000000000001E-3</v>
      </c>
      <c r="G39" s="29">
        <f t="shared" si="4"/>
        <v>1.883</v>
      </c>
    </row>
    <row r="40" spans="3:7" x14ac:dyDescent="0.5">
      <c r="C40" s="29">
        <v>21.52</v>
      </c>
      <c r="D40" s="29">
        <f t="shared" si="3"/>
        <v>19.27</v>
      </c>
      <c r="E40" s="29">
        <v>2.56</v>
      </c>
      <c r="F40" s="29">
        <f t="shared" si="5"/>
        <v>1.9269999999999999E-3</v>
      </c>
      <c r="G40" s="29">
        <f t="shared" si="4"/>
        <v>1.9269999999999998</v>
      </c>
    </row>
    <row r="41" spans="3:7" x14ac:dyDescent="0.5">
      <c r="C41" s="29">
        <v>22.03</v>
      </c>
      <c r="D41" s="29">
        <f t="shared" si="3"/>
        <v>19.78</v>
      </c>
      <c r="E41" s="29">
        <v>2.58</v>
      </c>
      <c r="F41" s="29">
        <f t="shared" si="5"/>
        <v>1.9780000000000002E-3</v>
      </c>
      <c r="G41" s="29">
        <f t="shared" si="4"/>
        <v>1.9780000000000002</v>
      </c>
    </row>
    <row r="42" spans="3:7" x14ac:dyDescent="0.5">
      <c r="C42" s="29">
        <v>22.51</v>
      </c>
      <c r="D42" s="29">
        <f t="shared" si="3"/>
        <v>20.260000000000002</v>
      </c>
      <c r="E42" s="29">
        <v>2.61</v>
      </c>
      <c r="F42" s="29">
        <f t="shared" si="5"/>
        <v>2.026E-3</v>
      </c>
      <c r="G42" s="29">
        <f t="shared" si="4"/>
        <v>2.0259999999999998</v>
      </c>
    </row>
    <row r="43" spans="3:7" x14ac:dyDescent="0.5">
      <c r="C43" s="29">
        <v>23.01</v>
      </c>
      <c r="D43" s="29">
        <f t="shared" si="3"/>
        <v>20.76</v>
      </c>
      <c r="E43" s="29">
        <v>2.65</v>
      </c>
      <c r="F43" s="29">
        <f t="shared" si="5"/>
        <v>2.0760000000000002E-3</v>
      </c>
      <c r="G43" s="29">
        <f t="shared" si="4"/>
        <v>2.0760000000000001</v>
      </c>
    </row>
    <row r="44" spans="3:7" x14ac:dyDescent="0.5">
      <c r="C44" s="29">
        <v>23.5</v>
      </c>
      <c r="D44" s="29">
        <f t="shared" si="3"/>
        <v>21.25</v>
      </c>
      <c r="E44" s="29">
        <v>2.69</v>
      </c>
      <c r="F44" s="29">
        <f t="shared" si="5"/>
        <v>2.1250000000000002E-3</v>
      </c>
      <c r="G44" s="29">
        <f t="shared" si="4"/>
        <v>2.125</v>
      </c>
    </row>
    <row r="45" spans="3:7" x14ac:dyDescent="0.5">
      <c r="C45" s="29">
        <v>23.99</v>
      </c>
      <c r="D45" s="29">
        <f t="shared" si="3"/>
        <v>21.74</v>
      </c>
      <c r="E45" s="29">
        <v>2.72</v>
      </c>
      <c r="F45" s="29">
        <f t="shared" si="5"/>
        <v>2.1740000000000002E-3</v>
      </c>
      <c r="G45" s="29">
        <f t="shared" si="4"/>
        <v>2.1739999999999999</v>
      </c>
    </row>
    <row r="46" spans="3:7" x14ac:dyDescent="0.5">
      <c r="C46" s="29">
        <v>24.51</v>
      </c>
      <c r="D46" s="29">
        <f t="shared" si="3"/>
        <v>22.26</v>
      </c>
      <c r="E46" s="29">
        <v>2.77</v>
      </c>
      <c r="F46" s="29">
        <f t="shared" si="5"/>
        <v>2.2260000000000001E-3</v>
      </c>
      <c r="G46" s="29">
        <f t="shared" si="4"/>
        <v>2.226</v>
      </c>
    </row>
    <row r="47" spans="3:7" x14ac:dyDescent="0.5">
      <c r="C47" s="29">
        <v>25.08</v>
      </c>
      <c r="D47" s="29">
        <f t="shared" si="3"/>
        <v>22.83</v>
      </c>
      <c r="E47" s="29">
        <v>2.84</v>
      </c>
      <c r="F47" s="29">
        <f t="shared" si="5"/>
        <v>2.2829999999999999E-3</v>
      </c>
      <c r="G47" s="29">
        <f t="shared" si="4"/>
        <v>2.2829999999999999</v>
      </c>
    </row>
    <row r="48" spans="3:7" x14ac:dyDescent="0.5">
      <c r="C48" s="29">
        <v>25.54</v>
      </c>
      <c r="D48" s="29">
        <f t="shared" si="3"/>
        <v>23.29</v>
      </c>
      <c r="E48" s="29">
        <v>2.92</v>
      </c>
      <c r="F48" s="29">
        <f t="shared" si="5"/>
        <v>2.3289999999999999E-3</v>
      </c>
      <c r="G48" s="29">
        <f t="shared" si="4"/>
        <v>2.3289999999999997</v>
      </c>
    </row>
    <row r="49" spans="3:7" x14ac:dyDescent="0.5">
      <c r="C49" s="29">
        <v>26.01</v>
      </c>
      <c r="D49" s="29">
        <f t="shared" si="3"/>
        <v>23.76</v>
      </c>
      <c r="E49" s="29">
        <v>2.98</v>
      </c>
      <c r="F49" s="29">
        <f t="shared" si="5"/>
        <v>2.3760000000000001E-3</v>
      </c>
      <c r="G49" s="29">
        <f t="shared" si="4"/>
        <v>2.3759999999999999</v>
      </c>
    </row>
    <row r="50" spans="3:7" x14ac:dyDescent="0.5">
      <c r="C50" s="29">
        <v>26.5</v>
      </c>
      <c r="D50" s="29">
        <f t="shared" si="3"/>
        <v>24.25</v>
      </c>
      <c r="E50" s="29">
        <v>3.06</v>
      </c>
      <c r="F50" s="29">
        <f t="shared" si="5"/>
        <v>2.4250000000000001E-3</v>
      </c>
      <c r="G50" s="29">
        <f t="shared" si="4"/>
        <v>2.4249999999999998</v>
      </c>
    </row>
    <row r="51" spans="3:7" x14ac:dyDescent="0.5">
      <c r="C51" s="29">
        <v>27.01</v>
      </c>
      <c r="D51" s="29">
        <f t="shared" si="3"/>
        <v>24.76</v>
      </c>
      <c r="E51" s="29">
        <v>3.22</v>
      </c>
      <c r="F51" s="29">
        <f t="shared" si="5"/>
        <v>2.4760000000000003E-3</v>
      </c>
      <c r="G51" s="29">
        <f t="shared" si="4"/>
        <v>2.4760000000000004</v>
      </c>
    </row>
    <row r="52" spans="3:7" x14ac:dyDescent="0.5">
      <c r="C52" s="29">
        <v>27.5</v>
      </c>
      <c r="D52" s="29">
        <f t="shared" si="3"/>
        <v>25.25</v>
      </c>
      <c r="E52" s="29">
        <v>3.42</v>
      </c>
      <c r="F52" s="29">
        <f t="shared" si="5"/>
        <v>2.5250000000000003E-3</v>
      </c>
      <c r="G52" s="29">
        <f t="shared" si="4"/>
        <v>2.5250000000000004</v>
      </c>
    </row>
    <row r="53" spans="3:7" x14ac:dyDescent="0.5">
      <c r="C53" s="29">
        <v>28.01</v>
      </c>
      <c r="D53" s="29">
        <f t="shared" si="3"/>
        <v>25.76</v>
      </c>
      <c r="E53" s="29">
        <v>3.59</v>
      </c>
      <c r="F53" s="29">
        <f t="shared" si="5"/>
        <v>2.5760000000000002E-3</v>
      </c>
      <c r="G53" s="29">
        <f t="shared" si="4"/>
        <v>2.5760000000000001</v>
      </c>
    </row>
    <row r="54" spans="3:7" x14ac:dyDescent="0.5">
      <c r="C54" s="29">
        <v>28.55</v>
      </c>
      <c r="D54" s="29">
        <f t="shared" si="3"/>
        <v>26.3</v>
      </c>
      <c r="E54" s="29">
        <v>4.7300000000000004</v>
      </c>
      <c r="F54" s="29">
        <f t="shared" si="5"/>
        <v>2.6300000000000004E-3</v>
      </c>
      <c r="G54" s="29">
        <f t="shared" si="4"/>
        <v>2.6300000000000003</v>
      </c>
    </row>
    <row r="55" spans="3:7" x14ac:dyDescent="0.5">
      <c r="C55" s="29">
        <v>29.01</v>
      </c>
      <c r="D55" s="29">
        <f t="shared" si="3"/>
        <v>26.76</v>
      </c>
      <c r="E55" s="29">
        <v>5.15</v>
      </c>
      <c r="F55" s="29">
        <f t="shared" si="5"/>
        <v>2.6760000000000004E-3</v>
      </c>
      <c r="G55" s="29">
        <f t="shared" si="4"/>
        <v>2.6760000000000002</v>
      </c>
    </row>
    <row r="56" spans="3:7" x14ac:dyDescent="0.5">
      <c r="C56" s="29">
        <v>29.5</v>
      </c>
      <c r="D56" s="29">
        <f t="shared" si="3"/>
        <v>27.25</v>
      </c>
      <c r="E56" s="29">
        <v>5.4</v>
      </c>
      <c r="F56" s="29">
        <f t="shared" si="5"/>
        <v>2.725E-3</v>
      </c>
      <c r="G56" s="29">
        <f t="shared" si="4"/>
        <v>2.7250000000000001</v>
      </c>
    </row>
    <row r="57" spans="3:7" x14ac:dyDescent="0.5">
      <c r="C57" s="29">
        <v>30</v>
      </c>
      <c r="D57" s="29">
        <f t="shared" si="3"/>
        <v>27.75</v>
      </c>
      <c r="E57" s="29">
        <v>5.63</v>
      </c>
      <c r="F57" s="29">
        <f t="shared" si="5"/>
        <v>2.7750000000000001E-3</v>
      </c>
      <c r="G57" s="29">
        <f t="shared" si="4"/>
        <v>2.7749999999999999</v>
      </c>
    </row>
    <row r="58" spans="3:7" x14ac:dyDescent="0.5">
      <c r="C58" s="29">
        <v>30.52</v>
      </c>
      <c r="D58" s="29">
        <f t="shared" si="3"/>
        <v>28.27</v>
      </c>
      <c r="E58" s="29">
        <v>5.77</v>
      </c>
      <c r="F58" s="29">
        <f t="shared" si="5"/>
        <v>2.8270000000000001E-3</v>
      </c>
      <c r="G58" s="29">
        <f t="shared" si="4"/>
        <v>2.827</v>
      </c>
    </row>
    <row r="59" spans="3:7" x14ac:dyDescent="0.5">
      <c r="C59" s="29">
        <v>31.04</v>
      </c>
      <c r="D59" s="29">
        <f t="shared" si="3"/>
        <v>28.79</v>
      </c>
      <c r="E59" s="29">
        <v>5.9</v>
      </c>
      <c r="F59" s="29">
        <f t="shared" si="5"/>
        <v>2.879E-3</v>
      </c>
      <c r="G59" s="29">
        <f t="shared" si="4"/>
        <v>2.879</v>
      </c>
    </row>
    <row r="60" spans="3:7" x14ac:dyDescent="0.5">
      <c r="C60" s="29">
        <v>31.68</v>
      </c>
      <c r="D60" s="29">
        <f t="shared" si="3"/>
        <v>29.43</v>
      </c>
      <c r="E60" s="29">
        <v>6.13</v>
      </c>
      <c r="F60" s="29">
        <f t="shared" si="5"/>
        <v>2.9430000000000003E-3</v>
      </c>
      <c r="G60" s="29">
        <f t="shared" si="4"/>
        <v>2.9430000000000001</v>
      </c>
    </row>
    <row r="61" spans="3:7" x14ac:dyDescent="0.5">
      <c r="C61" s="29">
        <v>32.020000000000003</v>
      </c>
      <c r="D61" s="29">
        <f t="shared" si="3"/>
        <v>29.770000000000003</v>
      </c>
      <c r="E61" s="29">
        <v>6.2</v>
      </c>
      <c r="F61" s="29">
        <f t="shared" si="5"/>
        <v>2.9770000000000005E-3</v>
      </c>
      <c r="G61" s="29">
        <f t="shared" si="4"/>
        <v>2.9770000000000003</v>
      </c>
    </row>
    <row r="62" spans="3:7" x14ac:dyDescent="0.5">
      <c r="C62" s="29">
        <v>32.549999999999997</v>
      </c>
      <c r="D62" s="29">
        <f t="shared" si="3"/>
        <v>30.299999999999997</v>
      </c>
      <c r="E62" s="29">
        <v>6.34</v>
      </c>
      <c r="F62" s="29">
        <f t="shared" si="5"/>
        <v>3.0299999999999997E-3</v>
      </c>
      <c r="G62" s="29">
        <f t="shared" si="4"/>
        <v>3.03</v>
      </c>
    </row>
    <row r="63" spans="3:7" x14ac:dyDescent="0.5">
      <c r="C63" s="29">
        <v>33</v>
      </c>
      <c r="D63" s="29">
        <f t="shared" si="3"/>
        <v>30.75</v>
      </c>
      <c r="E63" s="29">
        <v>6.48</v>
      </c>
      <c r="F63" s="29">
        <f t="shared" si="5"/>
        <v>3.075E-3</v>
      </c>
      <c r="G63" s="29">
        <f t="shared" si="4"/>
        <v>3.0750000000000002</v>
      </c>
    </row>
    <row r="64" spans="3:7" x14ac:dyDescent="0.5">
      <c r="C64" s="29">
        <v>33.5</v>
      </c>
      <c r="D64" s="29">
        <f t="shared" si="3"/>
        <v>31.25</v>
      </c>
      <c r="E64" s="29">
        <v>6.64</v>
      </c>
      <c r="F64" s="29">
        <f t="shared" si="5"/>
        <v>3.1250000000000002E-3</v>
      </c>
      <c r="G64" s="29">
        <f t="shared" si="4"/>
        <v>3.125</v>
      </c>
    </row>
    <row r="65" spans="3:7" x14ac:dyDescent="0.5">
      <c r="C65" s="29">
        <v>33.979999999999997</v>
      </c>
      <c r="D65" s="29">
        <f t="shared" si="3"/>
        <v>31.729999999999997</v>
      </c>
      <c r="E65" s="29">
        <v>6.8</v>
      </c>
      <c r="F65" s="29">
        <f t="shared" si="5"/>
        <v>3.1729999999999996E-3</v>
      </c>
      <c r="G65" s="29">
        <f t="shared" si="4"/>
        <v>3.1729999999999996</v>
      </c>
    </row>
    <row r="66" spans="3:7" x14ac:dyDescent="0.5">
      <c r="C66" s="29">
        <v>34.49</v>
      </c>
      <c r="D66" s="29">
        <f t="shared" ref="D66:D97" si="6">C66-$B$1</f>
        <v>32.24</v>
      </c>
      <c r="E66" s="29">
        <v>7.1</v>
      </c>
      <c r="F66" s="29">
        <f t="shared" si="5"/>
        <v>3.2240000000000007E-3</v>
      </c>
      <c r="G66" s="29">
        <f t="shared" ref="G66:G97" si="7">F66/$B$6</f>
        <v>3.2240000000000006</v>
      </c>
    </row>
    <row r="67" spans="3:7" x14ac:dyDescent="0.5">
      <c r="C67" s="29">
        <v>35.01</v>
      </c>
      <c r="D67" s="29">
        <f t="shared" si="6"/>
        <v>32.76</v>
      </c>
      <c r="E67" s="29">
        <v>7.46</v>
      </c>
      <c r="F67" s="29">
        <f t="shared" ref="F67:F90" si="8">(D67/1000)*($B$3)</f>
        <v>3.2759999999999998E-3</v>
      </c>
      <c r="G67" s="29">
        <f t="shared" si="7"/>
        <v>3.2759999999999998</v>
      </c>
    </row>
    <row r="68" spans="3:7" x14ac:dyDescent="0.5">
      <c r="C68" s="29">
        <v>35.51</v>
      </c>
      <c r="D68" s="29">
        <f t="shared" si="6"/>
        <v>33.26</v>
      </c>
      <c r="E68" s="29">
        <v>8</v>
      </c>
      <c r="F68" s="29">
        <f t="shared" si="8"/>
        <v>3.326E-3</v>
      </c>
      <c r="G68" s="29">
        <f t="shared" si="7"/>
        <v>3.3260000000000001</v>
      </c>
    </row>
    <row r="69" spans="3:7" x14ac:dyDescent="0.5">
      <c r="C69" s="29">
        <v>36</v>
      </c>
      <c r="D69" s="29">
        <f t="shared" si="6"/>
        <v>33.75</v>
      </c>
      <c r="E69" s="29">
        <v>8.31</v>
      </c>
      <c r="F69" s="29">
        <f t="shared" si="8"/>
        <v>3.3750000000000004E-3</v>
      </c>
      <c r="G69" s="29">
        <f t="shared" si="7"/>
        <v>3.3750000000000004</v>
      </c>
    </row>
    <row r="70" spans="3:7" x14ac:dyDescent="0.5">
      <c r="C70" s="29">
        <v>36.51</v>
      </c>
      <c r="D70" s="29">
        <f t="shared" si="6"/>
        <v>34.26</v>
      </c>
      <c r="E70" s="29">
        <v>8.6199999999999992</v>
      </c>
      <c r="F70" s="29">
        <f t="shared" si="8"/>
        <v>3.4260000000000002E-3</v>
      </c>
      <c r="G70" s="29">
        <f t="shared" si="7"/>
        <v>3.4260000000000002</v>
      </c>
    </row>
    <row r="71" spans="3:7" x14ac:dyDescent="0.5">
      <c r="C71" s="29">
        <v>36.99</v>
      </c>
      <c r="D71" s="29">
        <f t="shared" si="6"/>
        <v>34.74</v>
      </c>
      <c r="E71" s="29">
        <v>8.81</v>
      </c>
      <c r="F71" s="29">
        <f t="shared" si="8"/>
        <v>3.4740000000000001E-3</v>
      </c>
      <c r="G71" s="29">
        <f t="shared" si="7"/>
        <v>3.4740000000000002</v>
      </c>
    </row>
    <row r="72" spans="3:7" x14ac:dyDescent="0.5">
      <c r="C72" s="29">
        <v>37.58</v>
      </c>
      <c r="D72" s="29">
        <f t="shared" si="6"/>
        <v>35.33</v>
      </c>
      <c r="E72" s="29">
        <v>8.9700000000000006</v>
      </c>
      <c r="F72" s="29">
        <f t="shared" si="8"/>
        <v>3.5330000000000001E-3</v>
      </c>
      <c r="G72" s="29">
        <f t="shared" si="7"/>
        <v>3.5329999999999999</v>
      </c>
    </row>
    <row r="73" spans="3:7" x14ac:dyDescent="0.5">
      <c r="C73" s="29">
        <v>38.01</v>
      </c>
      <c r="D73" s="29">
        <f t="shared" si="6"/>
        <v>35.76</v>
      </c>
      <c r="E73" s="29">
        <v>9.09</v>
      </c>
      <c r="F73" s="29">
        <f t="shared" si="8"/>
        <v>3.5760000000000002E-3</v>
      </c>
      <c r="G73" s="29">
        <f t="shared" si="7"/>
        <v>3.5760000000000001</v>
      </c>
    </row>
    <row r="74" spans="3:7" x14ac:dyDescent="0.5">
      <c r="C74" s="29">
        <v>38.520000000000003</v>
      </c>
      <c r="D74" s="29">
        <f t="shared" si="6"/>
        <v>36.270000000000003</v>
      </c>
      <c r="E74" s="29">
        <v>9.16</v>
      </c>
      <c r="F74" s="29">
        <f t="shared" si="8"/>
        <v>3.6270000000000004E-3</v>
      </c>
      <c r="G74" s="29">
        <f t="shared" si="7"/>
        <v>3.6270000000000002</v>
      </c>
    </row>
    <row r="75" spans="3:7" x14ac:dyDescent="0.5">
      <c r="C75" s="29">
        <v>38.979999999999997</v>
      </c>
      <c r="D75" s="29">
        <f t="shared" si="6"/>
        <v>36.729999999999997</v>
      </c>
      <c r="E75" s="29">
        <v>9.2799999999999994</v>
      </c>
      <c r="F75" s="29">
        <f t="shared" si="8"/>
        <v>3.673E-3</v>
      </c>
      <c r="G75" s="29">
        <f t="shared" si="7"/>
        <v>3.673</v>
      </c>
    </row>
    <row r="76" spans="3:7" x14ac:dyDescent="0.5">
      <c r="C76" s="29">
        <v>39.51</v>
      </c>
      <c r="D76" s="29">
        <f t="shared" si="6"/>
        <v>37.26</v>
      </c>
      <c r="E76" s="29">
        <v>9.3800000000000008</v>
      </c>
      <c r="F76" s="29">
        <f t="shared" si="8"/>
        <v>3.7260000000000001E-3</v>
      </c>
      <c r="G76" s="29">
        <f t="shared" si="7"/>
        <v>3.726</v>
      </c>
    </row>
    <row r="77" spans="3:7" x14ac:dyDescent="0.5">
      <c r="C77" s="29">
        <v>40</v>
      </c>
      <c r="D77" s="29">
        <f t="shared" si="6"/>
        <v>37.75</v>
      </c>
      <c r="E77" s="29">
        <v>9.44</v>
      </c>
      <c r="F77" s="29">
        <f t="shared" si="8"/>
        <v>3.7750000000000001E-3</v>
      </c>
      <c r="G77" s="29">
        <f t="shared" si="7"/>
        <v>3.7749999999999999</v>
      </c>
    </row>
    <row r="78" spans="3:7" x14ac:dyDescent="0.5">
      <c r="C78" s="29">
        <v>40.51</v>
      </c>
      <c r="D78" s="29">
        <f t="shared" si="6"/>
        <v>38.26</v>
      </c>
      <c r="E78" s="29">
        <v>9.58</v>
      </c>
      <c r="F78" s="29">
        <f t="shared" si="8"/>
        <v>3.8259999999999995E-3</v>
      </c>
      <c r="G78" s="29">
        <f t="shared" si="7"/>
        <v>3.8259999999999996</v>
      </c>
    </row>
    <row r="79" spans="3:7" x14ac:dyDescent="0.5">
      <c r="C79" s="29">
        <v>41</v>
      </c>
      <c r="D79" s="29">
        <f t="shared" si="6"/>
        <v>38.75</v>
      </c>
      <c r="E79" s="29">
        <v>9.65</v>
      </c>
      <c r="F79" s="29">
        <f t="shared" si="8"/>
        <v>3.875E-3</v>
      </c>
      <c r="G79" s="29">
        <f t="shared" si="7"/>
        <v>3.875</v>
      </c>
    </row>
    <row r="80" spans="3:7" x14ac:dyDescent="0.5">
      <c r="C80" s="29">
        <v>41.52</v>
      </c>
      <c r="D80" s="29">
        <f t="shared" si="6"/>
        <v>39.270000000000003</v>
      </c>
      <c r="E80" s="29">
        <v>9.7799999999999994</v>
      </c>
      <c r="F80" s="29">
        <f t="shared" si="8"/>
        <v>3.9270000000000008E-3</v>
      </c>
      <c r="G80" s="29">
        <f t="shared" si="7"/>
        <v>3.9270000000000009</v>
      </c>
    </row>
    <row r="81" spans="3:7" x14ac:dyDescent="0.5">
      <c r="C81" s="29">
        <v>42.02</v>
      </c>
      <c r="D81" s="29">
        <f t="shared" si="6"/>
        <v>39.770000000000003</v>
      </c>
      <c r="E81" s="29">
        <v>9.9</v>
      </c>
      <c r="F81" s="29">
        <f t="shared" si="8"/>
        <v>3.9770000000000005E-3</v>
      </c>
      <c r="G81" s="29">
        <f t="shared" si="7"/>
        <v>3.9770000000000003</v>
      </c>
    </row>
    <row r="82" spans="3:7" x14ac:dyDescent="0.5">
      <c r="C82" s="29">
        <v>42.51</v>
      </c>
      <c r="D82" s="29">
        <f t="shared" si="6"/>
        <v>40.26</v>
      </c>
      <c r="E82" s="29">
        <v>10.01</v>
      </c>
      <c r="F82" s="29">
        <f t="shared" si="8"/>
        <v>4.0260000000000001E-3</v>
      </c>
      <c r="G82" s="29">
        <f t="shared" si="7"/>
        <v>4.0259999999999998</v>
      </c>
    </row>
    <row r="83" spans="3:7" x14ac:dyDescent="0.5">
      <c r="C83" s="29">
        <v>43</v>
      </c>
      <c r="D83" s="29">
        <f t="shared" si="6"/>
        <v>40.75</v>
      </c>
      <c r="E83" s="29">
        <v>10.1</v>
      </c>
      <c r="F83" s="29">
        <f t="shared" si="8"/>
        <v>4.0750000000000005E-3</v>
      </c>
      <c r="G83" s="29">
        <f t="shared" si="7"/>
        <v>4.0750000000000002</v>
      </c>
    </row>
    <row r="84" spans="3:7" x14ac:dyDescent="0.5">
      <c r="C84" s="29">
        <v>43.51</v>
      </c>
      <c r="D84" s="29">
        <f t="shared" si="6"/>
        <v>41.26</v>
      </c>
      <c r="E84" s="29">
        <v>10.220000000000001</v>
      </c>
      <c r="F84" s="29">
        <f t="shared" si="8"/>
        <v>4.1260000000000003E-3</v>
      </c>
      <c r="G84" s="29">
        <f t="shared" si="7"/>
        <v>4.1260000000000003</v>
      </c>
    </row>
    <row r="85" spans="3:7" x14ac:dyDescent="0.5">
      <c r="C85" s="29">
        <v>44</v>
      </c>
      <c r="D85" s="29">
        <f t="shared" si="6"/>
        <v>41.75</v>
      </c>
      <c r="E85" s="29">
        <v>10.4</v>
      </c>
      <c r="F85" s="29">
        <f t="shared" si="8"/>
        <v>4.1750000000000008E-3</v>
      </c>
      <c r="G85" s="29">
        <f t="shared" si="7"/>
        <v>4.1750000000000007</v>
      </c>
    </row>
    <row r="86" spans="3:7" x14ac:dyDescent="0.5">
      <c r="C86" s="29">
        <v>44.58</v>
      </c>
      <c r="D86" s="29">
        <f t="shared" si="6"/>
        <v>42.33</v>
      </c>
      <c r="E86" s="29">
        <v>10.6</v>
      </c>
      <c r="F86" s="29">
        <f t="shared" si="8"/>
        <v>4.2329999999999998E-3</v>
      </c>
      <c r="G86" s="29">
        <f t="shared" si="7"/>
        <v>4.2329999999999997</v>
      </c>
    </row>
    <row r="87" spans="3:7" x14ac:dyDescent="0.5">
      <c r="C87" s="29">
        <v>45.09</v>
      </c>
      <c r="D87" s="29">
        <f t="shared" si="6"/>
        <v>42.84</v>
      </c>
      <c r="E87" s="29">
        <v>10.74</v>
      </c>
      <c r="F87" s="29">
        <f t="shared" si="8"/>
        <v>4.2840000000000005E-3</v>
      </c>
      <c r="G87" s="29">
        <f t="shared" si="7"/>
        <v>4.2840000000000007</v>
      </c>
    </row>
    <row r="88" spans="3:7" x14ac:dyDescent="0.5">
      <c r="C88" s="29">
        <v>45.55</v>
      </c>
      <c r="D88" s="29">
        <f t="shared" si="6"/>
        <v>43.3</v>
      </c>
      <c r="E88" s="29">
        <v>10.87</v>
      </c>
      <c r="F88" s="29">
        <f t="shared" si="8"/>
        <v>4.3299999999999996E-3</v>
      </c>
      <c r="G88" s="29">
        <f t="shared" si="7"/>
        <v>4.3299999999999992</v>
      </c>
    </row>
    <row r="89" spans="3:7" x14ac:dyDescent="0.5">
      <c r="C89" s="29">
        <v>46.02</v>
      </c>
      <c r="D89" s="29">
        <f t="shared" si="6"/>
        <v>43.77</v>
      </c>
      <c r="E89" s="29">
        <v>10.96</v>
      </c>
      <c r="F89" s="29">
        <f t="shared" si="8"/>
        <v>4.3770000000000007E-3</v>
      </c>
      <c r="G89" s="29">
        <f t="shared" si="7"/>
        <v>4.3770000000000007</v>
      </c>
    </row>
    <row r="90" spans="3:7" x14ac:dyDescent="0.5">
      <c r="C90" s="29">
        <v>46.51</v>
      </c>
      <c r="D90" s="29">
        <f t="shared" si="6"/>
        <v>44.26</v>
      </c>
      <c r="E90" s="29">
        <v>11.04</v>
      </c>
      <c r="F90" s="29">
        <f t="shared" si="8"/>
        <v>4.4260000000000002E-3</v>
      </c>
      <c r="G90" s="29">
        <f t="shared" si="7"/>
        <v>4.4260000000000002</v>
      </c>
    </row>
    <row r="91" spans="3:7" x14ac:dyDescent="0.5">
      <c r="C91" s="29"/>
      <c r="D91" s="29"/>
      <c r="E91" s="29"/>
      <c r="F91" s="29"/>
      <c r="G91" s="29"/>
    </row>
    <row r="92" spans="3:7" x14ac:dyDescent="0.5">
      <c r="C92" s="31"/>
      <c r="D92" s="31"/>
      <c r="E92" s="31"/>
      <c r="F92" s="31"/>
      <c r="G92" s="31"/>
    </row>
    <row r="93" spans="3:7" x14ac:dyDescent="0.5">
      <c r="C93" s="31"/>
      <c r="D93" s="31"/>
      <c r="E93" s="31"/>
      <c r="F93" s="31"/>
      <c r="G93" s="31"/>
    </row>
    <row r="94" spans="3:7" x14ac:dyDescent="0.5">
      <c r="C94" s="31"/>
      <c r="D94" s="31"/>
      <c r="E94" s="31"/>
      <c r="F94" s="31"/>
      <c r="G94" s="31"/>
    </row>
    <row r="95" spans="3:7" x14ac:dyDescent="0.5">
      <c r="C95" s="31"/>
      <c r="D95" s="31"/>
      <c r="E95" s="31"/>
      <c r="F95" s="31"/>
      <c r="G95" s="31"/>
    </row>
    <row r="96" spans="3:7" x14ac:dyDescent="0.5">
      <c r="C96" s="31"/>
      <c r="D96" s="31"/>
      <c r="E96" s="31"/>
      <c r="F96" s="31"/>
      <c r="G96" s="31"/>
    </row>
    <row r="97" spans="3:7" x14ac:dyDescent="0.5">
      <c r="C97" s="31"/>
      <c r="D97" s="31"/>
      <c r="E97" s="31"/>
      <c r="F97" s="31"/>
      <c r="G97" s="31"/>
    </row>
    <row r="98" spans="3:7" x14ac:dyDescent="0.5">
      <c r="C98" s="31"/>
      <c r="D98" s="31"/>
      <c r="E98" s="31"/>
      <c r="F98" s="31"/>
      <c r="G98" s="31"/>
    </row>
    <row r="99" spans="3:7" x14ac:dyDescent="0.5">
      <c r="C99" s="31"/>
      <c r="D99" s="31"/>
      <c r="E99" s="31"/>
      <c r="F99" s="31"/>
      <c r="G99" s="31"/>
    </row>
    <row r="100" spans="3:7" x14ac:dyDescent="0.5">
      <c r="C100" s="31"/>
      <c r="D100" s="31"/>
      <c r="E100" s="31"/>
      <c r="F100" s="31"/>
      <c r="G100" s="31"/>
    </row>
    <row r="101" spans="3:7" x14ac:dyDescent="0.5">
      <c r="C101" s="31"/>
      <c r="D101" s="31"/>
      <c r="E101" s="31"/>
      <c r="F101" s="31"/>
      <c r="G101" s="31"/>
    </row>
    <row r="102" spans="3:7" x14ac:dyDescent="0.5">
      <c r="C102" s="31"/>
      <c r="D102" s="31"/>
      <c r="E102" s="31"/>
      <c r="F102" s="31"/>
      <c r="G102" s="31"/>
    </row>
    <row r="103" spans="3:7" x14ac:dyDescent="0.5">
      <c r="C103" s="31"/>
      <c r="D103" s="31"/>
      <c r="E103" s="31"/>
      <c r="F103" s="31"/>
      <c r="G103" s="31"/>
    </row>
    <row r="104" spans="3:7" x14ac:dyDescent="0.5">
      <c r="C104" s="31"/>
      <c r="D104" s="31"/>
      <c r="E104" s="31"/>
      <c r="F104" s="31"/>
      <c r="G104" s="31"/>
    </row>
    <row r="105" spans="3:7" x14ac:dyDescent="0.5">
      <c r="C105" s="31"/>
      <c r="D105" s="31"/>
      <c r="E105" s="31"/>
      <c r="F105" s="31"/>
      <c r="G105" s="31"/>
    </row>
    <row r="106" spans="3:7" x14ac:dyDescent="0.5">
      <c r="C106" s="31"/>
      <c r="D106" s="31"/>
      <c r="E106" s="31"/>
      <c r="F106" s="31"/>
      <c r="G106" s="31"/>
    </row>
    <row r="107" spans="3:7" x14ac:dyDescent="0.5">
      <c r="C107" s="31"/>
      <c r="D107" s="31"/>
      <c r="E107" s="31"/>
      <c r="F107" s="31"/>
      <c r="G107" s="31"/>
    </row>
    <row r="108" spans="3:7" x14ac:dyDescent="0.5">
      <c r="C108" s="31"/>
      <c r="D108" s="31"/>
      <c r="E108" s="31"/>
      <c r="F108" s="31"/>
      <c r="G108" s="31"/>
    </row>
    <row r="109" spans="3:7" x14ac:dyDescent="0.5">
      <c r="C109" s="31"/>
      <c r="D109" s="31"/>
      <c r="E109" s="31"/>
      <c r="F109" s="31"/>
      <c r="G109" s="31"/>
    </row>
    <row r="110" spans="3:7" x14ac:dyDescent="0.5">
      <c r="C110" s="31"/>
      <c r="D110" s="31"/>
      <c r="E110" s="31"/>
      <c r="F110" s="31"/>
      <c r="G110" s="31"/>
    </row>
    <row r="111" spans="3:7" x14ac:dyDescent="0.5">
      <c r="C111" s="31"/>
      <c r="D111" s="31"/>
      <c r="E111" s="31"/>
      <c r="F111" s="31"/>
      <c r="G111" s="31"/>
    </row>
    <row r="112" spans="3:7" x14ac:dyDescent="0.5">
      <c r="C112" s="31"/>
      <c r="D112" s="31"/>
      <c r="E112" s="31"/>
      <c r="F112" s="31"/>
      <c r="G112" s="31"/>
    </row>
    <row r="113" spans="3:7" x14ac:dyDescent="0.5">
      <c r="C113" s="31"/>
      <c r="D113" s="31"/>
      <c r="E113" s="31"/>
      <c r="F113" s="31"/>
      <c r="G113" s="31"/>
    </row>
    <row r="114" spans="3:7" x14ac:dyDescent="0.5">
      <c r="C114" s="31"/>
      <c r="D114" s="31"/>
      <c r="E114" s="31"/>
      <c r="F114" s="31"/>
      <c r="G114" s="31"/>
    </row>
    <row r="115" spans="3:7" x14ac:dyDescent="0.5">
      <c r="C115" s="31"/>
      <c r="D115" s="31"/>
      <c r="E115" s="31"/>
      <c r="F115" s="31"/>
      <c r="G115" s="31"/>
    </row>
    <row r="116" spans="3:7" x14ac:dyDescent="0.5">
      <c r="C116" s="31"/>
      <c r="D116" s="31"/>
      <c r="E116" s="31"/>
      <c r="F116" s="31"/>
      <c r="G116" s="31"/>
    </row>
    <row r="117" spans="3:7" x14ac:dyDescent="0.5">
      <c r="C117" s="31"/>
      <c r="D117" s="31"/>
      <c r="E117" s="31"/>
      <c r="F117" s="31"/>
      <c r="G117" s="31"/>
    </row>
    <row r="118" spans="3:7" x14ac:dyDescent="0.5">
      <c r="C118" s="31"/>
      <c r="D118" s="31"/>
      <c r="E118" s="31"/>
      <c r="F118" s="31"/>
      <c r="G118" s="31"/>
    </row>
    <row r="119" spans="3:7" x14ac:dyDescent="0.5">
      <c r="C119" s="31"/>
      <c r="D119" s="31"/>
      <c r="E119" s="31"/>
      <c r="F119" s="31"/>
      <c r="G119" s="31"/>
    </row>
    <row r="120" spans="3:7" x14ac:dyDescent="0.5">
      <c r="C120" s="31"/>
      <c r="D120" s="31"/>
      <c r="E120" s="31"/>
      <c r="F120" s="31"/>
      <c r="G120" s="31"/>
    </row>
    <row r="121" spans="3:7" x14ac:dyDescent="0.5">
      <c r="C121" s="31"/>
      <c r="D121" s="31"/>
      <c r="E121" s="31"/>
      <c r="F121" s="31"/>
      <c r="G121" s="31"/>
    </row>
    <row r="122" spans="3:7" x14ac:dyDescent="0.5">
      <c r="C122" s="31"/>
      <c r="D122" s="31"/>
      <c r="E122" s="31"/>
      <c r="F122" s="31"/>
      <c r="G122" s="31"/>
    </row>
    <row r="123" spans="3:7" x14ac:dyDescent="0.5">
      <c r="C123" s="31"/>
      <c r="D123" s="31"/>
      <c r="E123" s="31"/>
      <c r="F123" s="31"/>
      <c r="G123" s="31"/>
    </row>
    <row r="124" spans="3:7" x14ac:dyDescent="0.5">
      <c r="C124" s="31"/>
      <c r="D124" s="31"/>
      <c r="E124" s="31"/>
      <c r="F124" s="31"/>
      <c r="G124" s="31"/>
    </row>
    <row r="125" spans="3:7" x14ac:dyDescent="0.5">
      <c r="C125" s="31"/>
      <c r="D125" s="31"/>
      <c r="E125" s="31"/>
      <c r="F125" s="31"/>
      <c r="G125" s="31"/>
    </row>
    <row r="126" spans="3:7" x14ac:dyDescent="0.5">
      <c r="C126" s="31"/>
      <c r="D126" s="31"/>
      <c r="E126" s="31"/>
      <c r="F126" s="31"/>
      <c r="G126" s="31"/>
    </row>
    <row r="127" spans="3:7" x14ac:dyDescent="0.5">
      <c r="C127" s="31"/>
      <c r="D127" s="31"/>
      <c r="E127" s="31"/>
      <c r="F127" s="31"/>
      <c r="G127" s="31"/>
    </row>
    <row r="128" spans="3:7" x14ac:dyDescent="0.5">
      <c r="C128" s="31"/>
      <c r="D128" s="31"/>
      <c r="E128" s="31"/>
      <c r="F128" s="31"/>
      <c r="G128" s="31"/>
    </row>
    <row r="129" spans="3:7" x14ac:dyDescent="0.5">
      <c r="C129" s="31"/>
      <c r="D129" s="31"/>
      <c r="E129" s="31"/>
      <c r="F129" s="31"/>
      <c r="G129" s="31"/>
    </row>
    <row r="130" spans="3:7" x14ac:dyDescent="0.5">
      <c r="C130" s="31"/>
      <c r="D130" s="31"/>
      <c r="E130" s="31"/>
      <c r="F130" s="31"/>
      <c r="G130" s="31"/>
    </row>
    <row r="131" spans="3:7" x14ac:dyDescent="0.5">
      <c r="C131" s="31"/>
      <c r="D131" s="31"/>
      <c r="E131" s="31"/>
      <c r="F131" s="31"/>
      <c r="G131" s="31"/>
    </row>
    <row r="132" spans="3:7" x14ac:dyDescent="0.5">
      <c r="C132" s="31"/>
      <c r="D132" s="31"/>
      <c r="E132" s="31"/>
      <c r="F132" s="31"/>
      <c r="G132" s="31"/>
    </row>
    <row r="133" spans="3:7" x14ac:dyDescent="0.5">
      <c r="C133" s="31"/>
      <c r="D133" s="31"/>
      <c r="E133" s="31"/>
      <c r="F133" s="31"/>
      <c r="G133" s="31"/>
    </row>
    <row r="134" spans="3:7" x14ac:dyDescent="0.5">
      <c r="C134" s="31"/>
      <c r="D134" s="31"/>
      <c r="E134" s="31"/>
      <c r="F134" s="31"/>
      <c r="G134" s="31"/>
    </row>
    <row r="135" spans="3:7" x14ac:dyDescent="0.5">
      <c r="C135" s="31"/>
      <c r="D135" s="31"/>
      <c r="E135" s="31"/>
      <c r="F135" s="31"/>
      <c r="G135" s="31"/>
    </row>
    <row r="136" spans="3:7" x14ac:dyDescent="0.5">
      <c r="C136" s="31"/>
      <c r="D136" s="31"/>
      <c r="E136" s="31"/>
      <c r="F136" s="31"/>
      <c r="G136" s="31"/>
    </row>
    <row r="137" spans="3:7" x14ac:dyDescent="0.5">
      <c r="C137" s="31"/>
      <c r="D137" s="31"/>
      <c r="E137" s="31"/>
      <c r="F137" s="31"/>
      <c r="G137" s="31"/>
    </row>
    <row r="138" spans="3:7" x14ac:dyDescent="0.5">
      <c r="C138" s="31"/>
      <c r="D138" s="31"/>
      <c r="E138" s="31"/>
      <c r="F138" s="31"/>
      <c r="G138" s="31"/>
    </row>
  </sheetData>
  <mergeCells count="6">
    <mergeCell ref="R28:S28"/>
    <mergeCell ref="R3:S3"/>
    <mergeCell ref="R8:S8"/>
    <mergeCell ref="R13:S13"/>
    <mergeCell ref="R18:S18"/>
    <mergeCell ref="R23:S2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FB0E-A2EC-534E-96E7-1EBC40728DCA}">
  <sheetPr>
    <tabColor theme="8"/>
  </sheetPr>
  <dimension ref="A1:S138"/>
  <sheetViews>
    <sheetView topLeftCell="D1" zoomScale="85" zoomScaleNormal="100" workbookViewId="0">
      <selection activeCell="D1" sqref="D1:G90"/>
    </sheetView>
  </sheetViews>
  <sheetFormatPr defaultColWidth="11" defaultRowHeight="15.75" x14ac:dyDescent="0.5"/>
  <cols>
    <col min="1" max="1" width="25.3125" customWidth="1"/>
    <col min="2" max="2" width="13.8125" customWidth="1"/>
    <col min="3" max="8" width="21.5" style="10" customWidth="1"/>
  </cols>
  <sheetData>
    <row r="1" spans="1:19" ht="26.65" x14ac:dyDescent="0.5">
      <c r="A1" s="24" t="s">
        <v>23</v>
      </c>
      <c r="B1" s="25">
        <v>2.25</v>
      </c>
      <c r="C1" s="26" t="s">
        <v>24</v>
      </c>
      <c r="D1" s="27" t="s">
        <v>25</v>
      </c>
      <c r="E1" s="27" t="s">
        <v>26</v>
      </c>
      <c r="F1" s="27" t="s">
        <v>27</v>
      </c>
      <c r="G1" s="27" t="s">
        <v>28</v>
      </c>
    </row>
    <row r="2" spans="1:19" x14ac:dyDescent="0.5">
      <c r="A2" s="24" t="s">
        <v>29</v>
      </c>
      <c r="B2" s="28">
        <v>2.0499999999999998</v>
      </c>
      <c r="C2" s="29">
        <f>B1</f>
        <v>2.25</v>
      </c>
      <c r="D2" s="29">
        <f t="shared" ref="D2:D33" si="0">C2-$B$1</f>
        <v>0</v>
      </c>
      <c r="E2" s="29">
        <v>2.0499999999999998</v>
      </c>
      <c r="F2" s="29">
        <f>(D2)*($B$3)</f>
        <v>0</v>
      </c>
      <c r="G2" s="29">
        <f t="shared" ref="G2:G33" si="1">F2/$B$6</f>
        <v>0</v>
      </c>
    </row>
    <row r="3" spans="1:19" ht="34.049999999999997" customHeight="1" x14ac:dyDescent="0.5">
      <c r="A3" s="24" t="s">
        <v>30</v>
      </c>
      <c r="B3" s="28">
        <v>0.1</v>
      </c>
      <c r="C3" s="29">
        <v>2.99</v>
      </c>
      <c r="D3" s="29">
        <f t="shared" si="0"/>
        <v>0.74000000000000021</v>
      </c>
      <c r="E3" s="29">
        <v>2.06</v>
      </c>
      <c r="F3" s="29">
        <f t="shared" ref="F3:F34" si="2">(D3/1000)*($B$3)</f>
        <v>7.4000000000000023E-5</v>
      </c>
      <c r="G3" s="29">
        <f t="shared" si="1"/>
        <v>7.4000000000000024E-2</v>
      </c>
      <c r="R3" s="41" t="s">
        <v>48</v>
      </c>
      <c r="S3" s="41"/>
    </row>
    <row r="4" spans="1:19" x14ac:dyDescent="0.5">
      <c r="A4" s="24" t="s">
        <v>31</v>
      </c>
      <c r="B4" s="28">
        <v>0.1</v>
      </c>
      <c r="C4" s="29">
        <v>3.52</v>
      </c>
      <c r="D4" s="29">
        <f t="shared" si="0"/>
        <v>1.27</v>
      </c>
      <c r="E4" s="29">
        <v>2.0699999999999998</v>
      </c>
      <c r="F4" s="29">
        <f t="shared" si="2"/>
        <v>1.2700000000000002E-4</v>
      </c>
      <c r="G4" s="29">
        <f t="shared" si="1"/>
        <v>0.12700000000000003</v>
      </c>
      <c r="R4" s="18" t="s">
        <v>32</v>
      </c>
      <c r="S4" s="18" t="s">
        <v>33</v>
      </c>
    </row>
    <row r="5" spans="1:19" x14ac:dyDescent="0.5">
      <c r="A5" s="24" t="s">
        <v>34</v>
      </c>
      <c r="B5" s="28">
        <v>10</v>
      </c>
      <c r="C5" s="29">
        <v>4.01</v>
      </c>
      <c r="D5" s="29">
        <f t="shared" si="0"/>
        <v>1.7599999999999998</v>
      </c>
      <c r="E5" s="29">
        <v>2.08</v>
      </c>
      <c r="F5" s="29">
        <f t="shared" si="2"/>
        <v>1.76E-4</v>
      </c>
      <c r="G5" s="29">
        <f t="shared" si="1"/>
        <v>0.17599999999999999</v>
      </c>
      <c r="R5">
        <v>19.27</v>
      </c>
      <c r="S5">
        <v>2.56</v>
      </c>
    </row>
    <row r="6" spans="1:19" x14ac:dyDescent="0.5">
      <c r="A6" s="24" t="s">
        <v>35</v>
      </c>
      <c r="B6" s="28">
        <f>B4*(B5/1000)</f>
        <v>1E-3</v>
      </c>
      <c r="C6" s="29">
        <v>4.51</v>
      </c>
      <c r="D6" s="29">
        <f t="shared" si="0"/>
        <v>2.2599999999999998</v>
      </c>
      <c r="E6" s="29">
        <v>2.09</v>
      </c>
      <c r="F6" s="29">
        <f t="shared" si="2"/>
        <v>2.2599999999999999E-4</v>
      </c>
      <c r="G6" s="29">
        <f t="shared" si="1"/>
        <v>0.22599999999999998</v>
      </c>
    </row>
    <row r="7" spans="1:19" x14ac:dyDescent="0.5">
      <c r="A7" s="30"/>
      <c r="B7" s="30"/>
      <c r="C7" s="29">
        <v>5.1100000000000003</v>
      </c>
      <c r="D7" s="29">
        <f t="shared" si="0"/>
        <v>2.8600000000000003</v>
      </c>
      <c r="E7" s="29">
        <v>2.1</v>
      </c>
      <c r="F7" s="29">
        <f t="shared" si="2"/>
        <v>2.8600000000000001E-4</v>
      </c>
      <c r="G7" s="29">
        <f t="shared" si="1"/>
        <v>0.28600000000000003</v>
      </c>
    </row>
    <row r="8" spans="1:19" x14ac:dyDescent="0.5">
      <c r="A8" s="30"/>
      <c r="B8" s="30"/>
      <c r="C8" s="29">
        <v>5.52</v>
      </c>
      <c r="D8" s="29">
        <f t="shared" si="0"/>
        <v>3.2699999999999996</v>
      </c>
      <c r="E8" s="29">
        <v>2.11</v>
      </c>
      <c r="F8" s="29">
        <f t="shared" si="2"/>
        <v>3.2699999999999998E-4</v>
      </c>
      <c r="G8" s="29">
        <f t="shared" si="1"/>
        <v>0.32699999999999996</v>
      </c>
      <c r="R8" s="40" t="s">
        <v>49</v>
      </c>
      <c r="S8" s="40"/>
    </row>
    <row r="9" spans="1:19" x14ac:dyDescent="0.5">
      <c r="A9" s="30"/>
      <c r="B9" s="30"/>
      <c r="C9" s="29">
        <v>6</v>
      </c>
      <c r="D9" s="29">
        <f t="shared" si="0"/>
        <v>3.75</v>
      </c>
      <c r="E9" s="29">
        <v>2.12</v>
      </c>
      <c r="F9" s="29">
        <f t="shared" si="2"/>
        <v>3.7500000000000001E-4</v>
      </c>
      <c r="G9" s="29">
        <f t="shared" si="1"/>
        <v>0.375</v>
      </c>
      <c r="R9" s="18" t="s">
        <v>32</v>
      </c>
      <c r="S9" s="18" t="s">
        <v>33</v>
      </c>
    </row>
    <row r="10" spans="1:19" x14ac:dyDescent="0.5">
      <c r="A10" s="30"/>
      <c r="B10" s="30"/>
      <c r="C10" s="29">
        <v>6.59</v>
      </c>
      <c r="D10" s="29">
        <f t="shared" si="0"/>
        <v>4.34</v>
      </c>
      <c r="E10" s="29">
        <v>2.12</v>
      </c>
      <c r="F10" s="29">
        <f t="shared" si="2"/>
        <v>4.3400000000000003E-4</v>
      </c>
      <c r="G10" s="29">
        <f t="shared" si="1"/>
        <v>0.434</v>
      </c>
      <c r="R10">
        <v>15.8</v>
      </c>
      <c r="S10">
        <v>2.41</v>
      </c>
    </row>
    <row r="11" spans="1:19" x14ac:dyDescent="0.5">
      <c r="A11" s="30"/>
      <c r="B11" s="30"/>
      <c r="C11" s="29">
        <v>6.99</v>
      </c>
      <c r="D11" s="29">
        <f t="shared" si="0"/>
        <v>4.74</v>
      </c>
      <c r="E11" s="29">
        <v>2.13</v>
      </c>
      <c r="F11" s="29">
        <f t="shared" si="2"/>
        <v>4.7400000000000003E-4</v>
      </c>
      <c r="G11" s="29">
        <f t="shared" si="1"/>
        <v>0.47400000000000003</v>
      </c>
    </row>
    <row r="12" spans="1:19" x14ac:dyDescent="0.5">
      <c r="A12" s="30"/>
      <c r="B12" s="30"/>
      <c r="C12" s="29">
        <v>7.45</v>
      </c>
      <c r="D12" s="29">
        <f t="shared" si="0"/>
        <v>5.2</v>
      </c>
      <c r="E12" s="29">
        <v>2.14</v>
      </c>
      <c r="F12" s="29">
        <f t="shared" si="2"/>
        <v>5.1999999999999995E-4</v>
      </c>
      <c r="G12" s="29">
        <f t="shared" si="1"/>
        <v>0.51999999999999991</v>
      </c>
    </row>
    <row r="13" spans="1:19" x14ac:dyDescent="0.5">
      <c r="A13" s="30"/>
      <c r="B13" s="30"/>
      <c r="C13" s="29">
        <v>8</v>
      </c>
      <c r="D13" s="29">
        <f t="shared" si="0"/>
        <v>5.75</v>
      </c>
      <c r="E13" s="29">
        <v>2.15</v>
      </c>
      <c r="F13" s="29">
        <f t="shared" si="2"/>
        <v>5.7499999999999999E-4</v>
      </c>
      <c r="G13" s="29">
        <f t="shared" si="1"/>
        <v>0.57499999999999996</v>
      </c>
      <c r="R13" s="41" t="s">
        <v>50</v>
      </c>
      <c r="S13" s="41"/>
    </row>
    <row r="14" spans="1:19" x14ac:dyDescent="0.5">
      <c r="A14" s="30"/>
      <c r="B14" s="30"/>
      <c r="C14" s="29">
        <v>8.51</v>
      </c>
      <c r="D14" s="29">
        <f t="shared" si="0"/>
        <v>6.26</v>
      </c>
      <c r="E14" s="29">
        <v>2.16</v>
      </c>
      <c r="F14" s="29">
        <f t="shared" si="2"/>
        <v>6.2600000000000004E-4</v>
      </c>
      <c r="G14" s="29">
        <f t="shared" si="1"/>
        <v>0.626</v>
      </c>
      <c r="R14" s="18" t="s">
        <v>32</v>
      </c>
      <c r="S14" s="18" t="s">
        <v>33</v>
      </c>
    </row>
    <row r="15" spans="1:19" x14ac:dyDescent="0.5">
      <c r="A15" s="30"/>
      <c r="B15" s="30"/>
      <c r="C15" s="29">
        <v>9.01</v>
      </c>
      <c r="D15" s="29">
        <f t="shared" si="0"/>
        <v>6.76</v>
      </c>
      <c r="E15" s="29">
        <v>2.17</v>
      </c>
      <c r="F15" s="29">
        <f t="shared" si="2"/>
        <v>6.7599999999999995E-4</v>
      </c>
      <c r="G15" s="29">
        <f t="shared" si="1"/>
        <v>0.67599999999999993</v>
      </c>
      <c r="R15">
        <v>26.3</v>
      </c>
      <c r="S15">
        <v>4.7300000000000004</v>
      </c>
    </row>
    <row r="16" spans="1:19" x14ac:dyDescent="0.5">
      <c r="A16" s="30"/>
      <c r="B16" s="30"/>
      <c r="C16" s="29">
        <v>9.52</v>
      </c>
      <c r="D16" s="29">
        <f t="shared" si="0"/>
        <v>7.27</v>
      </c>
      <c r="E16" s="29">
        <v>2.1800000000000002</v>
      </c>
      <c r="F16" s="29">
        <f t="shared" si="2"/>
        <v>7.27E-4</v>
      </c>
      <c r="G16" s="29">
        <f t="shared" si="1"/>
        <v>0.72699999999999998</v>
      </c>
    </row>
    <row r="17" spans="1:19" x14ac:dyDescent="0.5">
      <c r="A17" s="30"/>
      <c r="B17" s="30"/>
      <c r="C17" s="29">
        <v>10</v>
      </c>
      <c r="D17" s="29">
        <f t="shared" si="0"/>
        <v>7.75</v>
      </c>
      <c r="E17" s="29">
        <v>2.1800000000000002</v>
      </c>
      <c r="F17" s="29">
        <f t="shared" si="2"/>
        <v>7.7500000000000008E-4</v>
      </c>
      <c r="G17" s="29">
        <f t="shared" si="1"/>
        <v>0.77500000000000002</v>
      </c>
    </row>
    <row r="18" spans="1:19" x14ac:dyDescent="0.5">
      <c r="A18" s="30"/>
      <c r="B18" s="30"/>
      <c r="C18" s="29">
        <v>10.5</v>
      </c>
      <c r="D18" s="29">
        <f t="shared" si="0"/>
        <v>8.25</v>
      </c>
      <c r="E18" s="29">
        <v>2.19</v>
      </c>
      <c r="F18" s="29">
        <f t="shared" si="2"/>
        <v>8.250000000000001E-4</v>
      </c>
      <c r="G18" s="29">
        <f t="shared" si="1"/>
        <v>0.82500000000000007</v>
      </c>
      <c r="R18" s="40" t="s">
        <v>51</v>
      </c>
      <c r="S18" s="40"/>
    </row>
    <row r="19" spans="1:19" x14ac:dyDescent="0.5">
      <c r="A19" s="30"/>
      <c r="B19" s="30"/>
      <c r="C19" s="29">
        <v>11.09</v>
      </c>
      <c r="D19" s="29">
        <f t="shared" si="0"/>
        <v>8.84</v>
      </c>
      <c r="E19" s="29">
        <v>2.2000000000000002</v>
      </c>
      <c r="F19" s="29">
        <f t="shared" si="2"/>
        <v>8.8400000000000013E-4</v>
      </c>
      <c r="G19" s="29">
        <f t="shared" si="1"/>
        <v>0.88400000000000012</v>
      </c>
      <c r="R19" s="18" t="s">
        <v>32</v>
      </c>
      <c r="S19" s="18" t="s">
        <v>33</v>
      </c>
    </row>
    <row r="20" spans="1:19" x14ac:dyDescent="0.5">
      <c r="A20" s="30"/>
      <c r="B20" s="30"/>
      <c r="C20" s="29">
        <v>11.51</v>
      </c>
      <c r="D20" s="29">
        <f t="shared" si="0"/>
        <v>9.26</v>
      </c>
      <c r="E20" s="29">
        <v>2.21</v>
      </c>
      <c r="F20" s="29">
        <f t="shared" si="2"/>
        <v>9.2599999999999996E-4</v>
      </c>
      <c r="G20" s="29">
        <f t="shared" si="1"/>
        <v>0.92599999999999993</v>
      </c>
      <c r="R20">
        <v>22.83</v>
      </c>
      <c r="S20">
        <v>2.84</v>
      </c>
    </row>
    <row r="21" spans="1:19" x14ac:dyDescent="0.5">
      <c r="A21" s="30"/>
      <c r="B21" s="30"/>
      <c r="C21" s="29">
        <v>12</v>
      </c>
      <c r="D21" s="29">
        <f t="shared" si="0"/>
        <v>9.75</v>
      </c>
      <c r="E21" s="29">
        <v>2.2200000000000002</v>
      </c>
      <c r="F21" s="29">
        <f t="shared" si="2"/>
        <v>9.7500000000000006E-4</v>
      </c>
      <c r="G21" s="29">
        <f t="shared" si="1"/>
        <v>0.97500000000000009</v>
      </c>
    </row>
    <row r="22" spans="1:19" x14ac:dyDescent="0.5">
      <c r="C22" s="29">
        <v>12.49</v>
      </c>
      <c r="D22" s="29">
        <f t="shared" si="0"/>
        <v>10.24</v>
      </c>
      <c r="E22" s="29">
        <v>2.23</v>
      </c>
      <c r="F22" s="29">
        <f t="shared" si="2"/>
        <v>1.0240000000000002E-3</v>
      </c>
      <c r="G22" s="29">
        <f t="shared" si="1"/>
        <v>1.0240000000000002</v>
      </c>
    </row>
    <row r="23" spans="1:19" x14ac:dyDescent="0.5">
      <c r="C23" s="29">
        <v>13</v>
      </c>
      <c r="D23" s="29">
        <f t="shared" si="0"/>
        <v>10.75</v>
      </c>
      <c r="E23" s="29">
        <v>2.25</v>
      </c>
      <c r="F23" s="29">
        <f t="shared" si="2"/>
        <v>1.075E-3</v>
      </c>
      <c r="G23" s="29">
        <f t="shared" si="1"/>
        <v>1.075</v>
      </c>
      <c r="R23" s="41" t="s">
        <v>52</v>
      </c>
      <c r="S23" s="41"/>
    </row>
    <row r="24" spans="1:19" x14ac:dyDescent="0.5">
      <c r="C24" s="29">
        <v>13.6</v>
      </c>
      <c r="D24" s="29">
        <f t="shared" si="0"/>
        <v>11.35</v>
      </c>
      <c r="E24" s="29">
        <v>2.2599999999999998</v>
      </c>
      <c r="F24" s="29">
        <f t="shared" si="2"/>
        <v>1.1349999999999999E-3</v>
      </c>
      <c r="G24" s="29">
        <f t="shared" si="1"/>
        <v>1.135</v>
      </c>
      <c r="R24" s="18" t="s">
        <v>32</v>
      </c>
      <c r="S24" s="18" t="s">
        <v>33</v>
      </c>
    </row>
    <row r="25" spans="1:19" x14ac:dyDescent="0.5">
      <c r="C25" s="29">
        <v>13.99</v>
      </c>
      <c r="D25" s="29">
        <f t="shared" si="0"/>
        <v>11.74</v>
      </c>
      <c r="E25" s="29">
        <v>2.27</v>
      </c>
      <c r="F25" s="29">
        <f t="shared" si="2"/>
        <v>1.1740000000000001E-3</v>
      </c>
      <c r="G25" s="29">
        <f t="shared" si="1"/>
        <v>1.1740000000000002</v>
      </c>
      <c r="R25">
        <v>33.26</v>
      </c>
      <c r="S25">
        <v>8</v>
      </c>
    </row>
    <row r="26" spans="1:19" x14ac:dyDescent="0.5">
      <c r="C26" s="29">
        <v>14.54</v>
      </c>
      <c r="D26" s="29">
        <f t="shared" si="0"/>
        <v>12.29</v>
      </c>
      <c r="E26" s="29">
        <v>2.29</v>
      </c>
      <c r="F26" s="29">
        <f t="shared" si="2"/>
        <v>1.2290000000000001E-3</v>
      </c>
      <c r="G26" s="29">
        <f t="shared" si="1"/>
        <v>1.2290000000000001</v>
      </c>
    </row>
    <row r="27" spans="1:19" x14ac:dyDescent="0.5">
      <c r="C27" s="29">
        <v>15.01</v>
      </c>
      <c r="D27" s="29">
        <f t="shared" si="0"/>
        <v>12.76</v>
      </c>
      <c r="E27" s="29">
        <v>2.2999999999999998</v>
      </c>
      <c r="F27" s="29">
        <f t="shared" si="2"/>
        <v>1.2760000000000002E-3</v>
      </c>
      <c r="G27" s="29">
        <f t="shared" si="1"/>
        <v>1.2760000000000002</v>
      </c>
    </row>
    <row r="28" spans="1:19" x14ac:dyDescent="0.5">
      <c r="C28" s="29">
        <v>15.61</v>
      </c>
      <c r="D28" s="29">
        <f t="shared" si="0"/>
        <v>13.36</v>
      </c>
      <c r="E28" s="29">
        <v>2.3199999999999998</v>
      </c>
      <c r="F28" s="29">
        <f t="shared" si="2"/>
        <v>1.3359999999999999E-3</v>
      </c>
      <c r="G28" s="29">
        <f t="shared" si="1"/>
        <v>1.3359999999999999</v>
      </c>
      <c r="R28" s="40" t="s">
        <v>53</v>
      </c>
      <c r="S28" s="40"/>
    </row>
    <row r="29" spans="1:19" x14ac:dyDescent="0.5">
      <c r="C29" s="29">
        <v>16.05</v>
      </c>
      <c r="D29" s="29">
        <f t="shared" si="0"/>
        <v>13.8</v>
      </c>
      <c r="E29" s="29">
        <v>2.34</v>
      </c>
      <c r="F29" s="29">
        <f t="shared" si="2"/>
        <v>1.3800000000000002E-3</v>
      </c>
      <c r="G29" s="29">
        <f t="shared" si="1"/>
        <v>1.3800000000000001</v>
      </c>
      <c r="R29" s="18" t="s">
        <v>32</v>
      </c>
      <c r="S29" s="18" t="s">
        <v>33</v>
      </c>
    </row>
    <row r="30" spans="1:19" x14ac:dyDescent="0.5">
      <c r="C30" s="29">
        <v>16.59</v>
      </c>
      <c r="D30" s="29">
        <f t="shared" si="0"/>
        <v>14.34</v>
      </c>
      <c r="E30" s="29">
        <v>2.35</v>
      </c>
      <c r="F30" s="29">
        <f t="shared" si="2"/>
        <v>1.4340000000000002E-3</v>
      </c>
      <c r="G30" s="29">
        <f t="shared" si="1"/>
        <v>1.4340000000000002</v>
      </c>
      <c r="R30">
        <v>29.77</v>
      </c>
      <c r="S30">
        <v>6.2</v>
      </c>
    </row>
    <row r="31" spans="1:19" x14ac:dyDescent="0.5">
      <c r="C31" s="29">
        <v>17.02</v>
      </c>
      <c r="D31" s="29">
        <f t="shared" si="0"/>
        <v>14.77</v>
      </c>
      <c r="E31" s="29">
        <v>2.37</v>
      </c>
      <c r="F31" s="29">
        <f t="shared" si="2"/>
        <v>1.477E-3</v>
      </c>
      <c r="G31" s="29">
        <f t="shared" si="1"/>
        <v>1.4770000000000001</v>
      </c>
    </row>
    <row r="32" spans="1:19" x14ac:dyDescent="0.5">
      <c r="C32" s="29">
        <v>17.52</v>
      </c>
      <c r="D32" s="29">
        <f t="shared" si="0"/>
        <v>15.27</v>
      </c>
      <c r="E32" s="29">
        <v>2.39</v>
      </c>
      <c r="F32" s="29">
        <f t="shared" si="2"/>
        <v>1.5269999999999999E-3</v>
      </c>
      <c r="G32" s="29">
        <f t="shared" si="1"/>
        <v>1.5269999999999999</v>
      </c>
    </row>
    <row r="33" spans="3:7" x14ac:dyDescent="0.5">
      <c r="C33" s="29">
        <v>18.05</v>
      </c>
      <c r="D33" s="29">
        <f t="shared" si="0"/>
        <v>15.8</v>
      </c>
      <c r="E33" s="29">
        <v>2.41</v>
      </c>
      <c r="F33" s="29">
        <f t="shared" si="2"/>
        <v>1.5800000000000002E-3</v>
      </c>
      <c r="G33" s="29">
        <f t="shared" si="1"/>
        <v>1.5800000000000003</v>
      </c>
    </row>
    <row r="34" spans="3:7" x14ac:dyDescent="0.5">
      <c r="C34" s="29">
        <v>18.559999999999999</v>
      </c>
      <c r="D34" s="29">
        <f t="shared" ref="D34:D65" si="3">C34-$B$1</f>
        <v>16.309999999999999</v>
      </c>
      <c r="E34" s="29">
        <v>2.42</v>
      </c>
      <c r="F34" s="29">
        <f t="shared" si="2"/>
        <v>1.6309999999999999E-3</v>
      </c>
      <c r="G34" s="29">
        <f t="shared" ref="G34:G65" si="4">F34/$B$6</f>
        <v>1.6309999999999998</v>
      </c>
    </row>
    <row r="35" spans="3:7" x14ac:dyDescent="0.5">
      <c r="C35" s="29">
        <v>19.02</v>
      </c>
      <c r="D35" s="29">
        <f t="shared" si="3"/>
        <v>16.77</v>
      </c>
      <c r="E35" s="29">
        <v>2.44</v>
      </c>
      <c r="F35" s="29">
        <f t="shared" ref="F35:F66" si="5">(D35/1000)*($B$3)</f>
        <v>1.6770000000000001E-3</v>
      </c>
      <c r="G35" s="29">
        <f t="shared" si="4"/>
        <v>1.677</v>
      </c>
    </row>
    <row r="36" spans="3:7" x14ac:dyDescent="0.5">
      <c r="C36" s="29">
        <v>19.61</v>
      </c>
      <c r="D36" s="29">
        <f t="shared" si="3"/>
        <v>17.36</v>
      </c>
      <c r="E36" s="29">
        <v>2.46</v>
      </c>
      <c r="F36" s="29">
        <f t="shared" si="5"/>
        <v>1.7360000000000001E-3</v>
      </c>
      <c r="G36" s="29">
        <f t="shared" si="4"/>
        <v>1.736</v>
      </c>
    </row>
    <row r="37" spans="3:7" x14ac:dyDescent="0.5">
      <c r="C37" s="29">
        <v>20</v>
      </c>
      <c r="D37" s="29">
        <f t="shared" si="3"/>
        <v>17.75</v>
      </c>
      <c r="E37" s="29">
        <v>2.48</v>
      </c>
      <c r="F37" s="29">
        <f t="shared" si="5"/>
        <v>1.7749999999999999E-3</v>
      </c>
      <c r="G37" s="29">
        <f t="shared" si="4"/>
        <v>1.7749999999999999</v>
      </c>
    </row>
    <row r="38" spans="3:7" x14ac:dyDescent="0.5">
      <c r="C38" s="29">
        <v>20.51</v>
      </c>
      <c r="D38" s="29">
        <f t="shared" si="3"/>
        <v>18.260000000000002</v>
      </c>
      <c r="E38" s="29">
        <v>2.5099999999999998</v>
      </c>
      <c r="F38" s="29">
        <f t="shared" si="5"/>
        <v>1.8260000000000004E-3</v>
      </c>
      <c r="G38" s="29">
        <f t="shared" si="4"/>
        <v>1.8260000000000003</v>
      </c>
    </row>
    <row r="39" spans="3:7" x14ac:dyDescent="0.5">
      <c r="C39" s="29">
        <v>21.08</v>
      </c>
      <c r="D39" s="29">
        <f t="shared" si="3"/>
        <v>18.829999999999998</v>
      </c>
      <c r="E39" s="29">
        <v>2.54</v>
      </c>
      <c r="F39" s="29">
        <f t="shared" si="5"/>
        <v>1.8830000000000001E-3</v>
      </c>
      <c r="G39" s="29">
        <f t="shared" si="4"/>
        <v>1.883</v>
      </c>
    </row>
    <row r="40" spans="3:7" x14ac:dyDescent="0.5">
      <c r="C40" s="29">
        <v>21.52</v>
      </c>
      <c r="D40" s="29">
        <f t="shared" si="3"/>
        <v>19.27</v>
      </c>
      <c r="E40" s="29">
        <v>2.56</v>
      </c>
      <c r="F40" s="29">
        <f t="shared" si="5"/>
        <v>1.9269999999999999E-3</v>
      </c>
      <c r="G40" s="29">
        <f t="shared" si="4"/>
        <v>1.9269999999999998</v>
      </c>
    </row>
    <row r="41" spans="3:7" x14ac:dyDescent="0.5">
      <c r="C41" s="29">
        <v>22.03</v>
      </c>
      <c r="D41" s="29">
        <f t="shared" si="3"/>
        <v>19.78</v>
      </c>
      <c r="E41" s="29">
        <v>2.58</v>
      </c>
      <c r="F41" s="29">
        <f t="shared" si="5"/>
        <v>1.9780000000000002E-3</v>
      </c>
      <c r="G41" s="29">
        <f t="shared" si="4"/>
        <v>1.9780000000000002</v>
      </c>
    </row>
    <row r="42" spans="3:7" x14ac:dyDescent="0.5">
      <c r="C42" s="29">
        <v>22.51</v>
      </c>
      <c r="D42" s="29">
        <f t="shared" si="3"/>
        <v>20.260000000000002</v>
      </c>
      <c r="E42" s="29">
        <v>2.61</v>
      </c>
      <c r="F42" s="29">
        <f t="shared" si="5"/>
        <v>2.026E-3</v>
      </c>
      <c r="G42" s="29">
        <f t="shared" si="4"/>
        <v>2.0259999999999998</v>
      </c>
    </row>
    <row r="43" spans="3:7" x14ac:dyDescent="0.5">
      <c r="C43" s="29">
        <v>23.01</v>
      </c>
      <c r="D43" s="29">
        <f t="shared" si="3"/>
        <v>20.76</v>
      </c>
      <c r="E43" s="29">
        <v>2.65</v>
      </c>
      <c r="F43" s="29">
        <f t="shared" si="5"/>
        <v>2.0760000000000002E-3</v>
      </c>
      <c r="G43" s="29">
        <f t="shared" si="4"/>
        <v>2.0760000000000001</v>
      </c>
    </row>
    <row r="44" spans="3:7" x14ac:dyDescent="0.5">
      <c r="C44" s="29">
        <v>23.5</v>
      </c>
      <c r="D44" s="29">
        <f t="shared" si="3"/>
        <v>21.25</v>
      </c>
      <c r="E44" s="29">
        <v>2.69</v>
      </c>
      <c r="F44" s="29">
        <f t="shared" si="5"/>
        <v>2.1250000000000002E-3</v>
      </c>
      <c r="G44" s="29">
        <f t="shared" si="4"/>
        <v>2.125</v>
      </c>
    </row>
    <row r="45" spans="3:7" x14ac:dyDescent="0.5">
      <c r="C45" s="29">
        <v>23.99</v>
      </c>
      <c r="D45" s="29">
        <f t="shared" si="3"/>
        <v>21.74</v>
      </c>
      <c r="E45" s="29">
        <v>2.72</v>
      </c>
      <c r="F45" s="29">
        <f t="shared" si="5"/>
        <v>2.1740000000000002E-3</v>
      </c>
      <c r="G45" s="29">
        <f t="shared" si="4"/>
        <v>2.1739999999999999</v>
      </c>
    </row>
    <row r="46" spans="3:7" x14ac:dyDescent="0.5">
      <c r="C46" s="29">
        <v>24.51</v>
      </c>
      <c r="D46" s="29">
        <f t="shared" si="3"/>
        <v>22.26</v>
      </c>
      <c r="E46" s="29">
        <v>2.77</v>
      </c>
      <c r="F46" s="29">
        <f t="shared" si="5"/>
        <v>2.2260000000000001E-3</v>
      </c>
      <c r="G46" s="29">
        <f t="shared" si="4"/>
        <v>2.226</v>
      </c>
    </row>
    <row r="47" spans="3:7" x14ac:dyDescent="0.5">
      <c r="C47" s="29">
        <v>25.08</v>
      </c>
      <c r="D47" s="29">
        <f t="shared" si="3"/>
        <v>22.83</v>
      </c>
      <c r="E47" s="29">
        <v>2.84</v>
      </c>
      <c r="F47" s="29">
        <f t="shared" si="5"/>
        <v>2.2829999999999999E-3</v>
      </c>
      <c r="G47" s="29">
        <f t="shared" si="4"/>
        <v>2.2829999999999999</v>
      </c>
    </row>
    <row r="48" spans="3:7" x14ac:dyDescent="0.5">
      <c r="C48" s="29">
        <v>25.54</v>
      </c>
      <c r="D48" s="29">
        <f t="shared" si="3"/>
        <v>23.29</v>
      </c>
      <c r="E48" s="29">
        <v>2.92</v>
      </c>
      <c r="F48" s="29">
        <f t="shared" si="5"/>
        <v>2.3289999999999999E-3</v>
      </c>
      <c r="G48" s="29">
        <f t="shared" si="4"/>
        <v>2.3289999999999997</v>
      </c>
    </row>
    <row r="49" spans="3:7" x14ac:dyDescent="0.5">
      <c r="C49" s="29">
        <v>26.01</v>
      </c>
      <c r="D49" s="29">
        <f t="shared" si="3"/>
        <v>23.76</v>
      </c>
      <c r="E49" s="29">
        <v>2.98</v>
      </c>
      <c r="F49" s="29">
        <f t="shared" si="5"/>
        <v>2.3760000000000001E-3</v>
      </c>
      <c r="G49" s="29">
        <f t="shared" si="4"/>
        <v>2.3759999999999999</v>
      </c>
    </row>
    <row r="50" spans="3:7" x14ac:dyDescent="0.5">
      <c r="C50" s="29">
        <v>26.5</v>
      </c>
      <c r="D50" s="29">
        <f t="shared" si="3"/>
        <v>24.25</v>
      </c>
      <c r="E50" s="29">
        <v>3.06</v>
      </c>
      <c r="F50" s="29">
        <f t="shared" si="5"/>
        <v>2.4250000000000001E-3</v>
      </c>
      <c r="G50" s="29">
        <f t="shared" si="4"/>
        <v>2.4249999999999998</v>
      </c>
    </row>
    <row r="51" spans="3:7" x14ac:dyDescent="0.5">
      <c r="C51" s="29">
        <v>27.01</v>
      </c>
      <c r="D51" s="29">
        <f t="shared" si="3"/>
        <v>24.76</v>
      </c>
      <c r="E51" s="29">
        <v>3.22</v>
      </c>
      <c r="F51" s="29">
        <f t="shared" si="5"/>
        <v>2.4760000000000003E-3</v>
      </c>
      <c r="G51" s="29">
        <f t="shared" si="4"/>
        <v>2.4760000000000004</v>
      </c>
    </row>
    <row r="52" spans="3:7" x14ac:dyDescent="0.5">
      <c r="C52" s="29">
        <v>27.5</v>
      </c>
      <c r="D52" s="29">
        <f t="shared" si="3"/>
        <v>25.25</v>
      </c>
      <c r="E52" s="29">
        <v>3.42</v>
      </c>
      <c r="F52" s="29">
        <f t="shared" si="5"/>
        <v>2.5250000000000003E-3</v>
      </c>
      <c r="G52" s="29">
        <f t="shared" si="4"/>
        <v>2.5250000000000004</v>
      </c>
    </row>
    <row r="53" spans="3:7" x14ac:dyDescent="0.5">
      <c r="C53" s="29">
        <v>28.01</v>
      </c>
      <c r="D53" s="29">
        <f t="shared" si="3"/>
        <v>25.76</v>
      </c>
      <c r="E53" s="29">
        <v>3.59</v>
      </c>
      <c r="F53" s="29">
        <f t="shared" si="5"/>
        <v>2.5760000000000002E-3</v>
      </c>
      <c r="G53" s="29">
        <f t="shared" si="4"/>
        <v>2.5760000000000001</v>
      </c>
    </row>
    <row r="54" spans="3:7" x14ac:dyDescent="0.5">
      <c r="C54" s="29">
        <v>28.55</v>
      </c>
      <c r="D54" s="29">
        <f t="shared" si="3"/>
        <v>26.3</v>
      </c>
      <c r="E54" s="29">
        <v>4.7300000000000004</v>
      </c>
      <c r="F54" s="29">
        <f t="shared" si="5"/>
        <v>2.6300000000000004E-3</v>
      </c>
      <c r="G54" s="29">
        <f t="shared" si="4"/>
        <v>2.6300000000000003</v>
      </c>
    </row>
    <row r="55" spans="3:7" x14ac:dyDescent="0.5">
      <c r="C55" s="29">
        <v>29.01</v>
      </c>
      <c r="D55" s="29">
        <f t="shared" si="3"/>
        <v>26.76</v>
      </c>
      <c r="E55" s="29">
        <v>5.15</v>
      </c>
      <c r="F55" s="29">
        <f t="shared" si="5"/>
        <v>2.6760000000000004E-3</v>
      </c>
      <c r="G55" s="29">
        <f t="shared" si="4"/>
        <v>2.6760000000000002</v>
      </c>
    </row>
    <row r="56" spans="3:7" x14ac:dyDescent="0.5">
      <c r="C56" s="29">
        <v>29.5</v>
      </c>
      <c r="D56" s="29">
        <f t="shared" si="3"/>
        <v>27.25</v>
      </c>
      <c r="E56" s="29">
        <v>5.4</v>
      </c>
      <c r="F56" s="29">
        <f t="shared" si="5"/>
        <v>2.725E-3</v>
      </c>
      <c r="G56" s="29">
        <f t="shared" si="4"/>
        <v>2.7250000000000001</v>
      </c>
    </row>
    <row r="57" spans="3:7" x14ac:dyDescent="0.5">
      <c r="C57" s="29">
        <v>30</v>
      </c>
      <c r="D57" s="29">
        <f t="shared" si="3"/>
        <v>27.75</v>
      </c>
      <c r="E57" s="29">
        <v>5.63</v>
      </c>
      <c r="F57" s="29">
        <f t="shared" si="5"/>
        <v>2.7750000000000001E-3</v>
      </c>
      <c r="G57" s="29">
        <f t="shared" si="4"/>
        <v>2.7749999999999999</v>
      </c>
    </row>
    <row r="58" spans="3:7" x14ac:dyDescent="0.5">
      <c r="C58" s="29">
        <v>30.52</v>
      </c>
      <c r="D58" s="29">
        <f t="shared" si="3"/>
        <v>28.27</v>
      </c>
      <c r="E58" s="29">
        <v>5.77</v>
      </c>
      <c r="F58" s="29">
        <f t="shared" si="5"/>
        <v>2.8270000000000001E-3</v>
      </c>
      <c r="G58" s="29">
        <f t="shared" si="4"/>
        <v>2.827</v>
      </c>
    </row>
    <row r="59" spans="3:7" x14ac:dyDescent="0.5">
      <c r="C59" s="29">
        <v>31.04</v>
      </c>
      <c r="D59" s="29">
        <f t="shared" si="3"/>
        <v>28.79</v>
      </c>
      <c r="E59" s="29">
        <v>5.9</v>
      </c>
      <c r="F59" s="29">
        <f t="shared" si="5"/>
        <v>2.879E-3</v>
      </c>
      <c r="G59" s="29">
        <f t="shared" si="4"/>
        <v>2.879</v>
      </c>
    </row>
    <row r="60" spans="3:7" x14ac:dyDescent="0.5">
      <c r="C60" s="29">
        <v>31.68</v>
      </c>
      <c r="D60" s="29">
        <f t="shared" si="3"/>
        <v>29.43</v>
      </c>
      <c r="E60" s="29">
        <v>6.13</v>
      </c>
      <c r="F60" s="29">
        <f t="shared" si="5"/>
        <v>2.9430000000000003E-3</v>
      </c>
      <c r="G60" s="29">
        <f t="shared" si="4"/>
        <v>2.9430000000000001</v>
      </c>
    </row>
    <row r="61" spans="3:7" x14ac:dyDescent="0.5">
      <c r="C61" s="29">
        <v>32.020000000000003</v>
      </c>
      <c r="D61" s="29">
        <f t="shared" si="3"/>
        <v>29.770000000000003</v>
      </c>
      <c r="E61" s="29">
        <v>6.2</v>
      </c>
      <c r="F61" s="29">
        <f t="shared" si="5"/>
        <v>2.9770000000000005E-3</v>
      </c>
      <c r="G61" s="29">
        <f t="shared" si="4"/>
        <v>2.9770000000000003</v>
      </c>
    </row>
    <row r="62" spans="3:7" x14ac:dyDescent="0.5">
      <c r="C62" s="29">
        <v>32.549999999999997</v>
      </c>
      <c r="D62" s="29">
        <f t="shared" si="3"/>
        <v>30.299999999999997</v>
      </c>
      <c r="E62" s="29">
        <v>6.34</v>
      </c>
      <c r="F62" s="29">
        <f t="shared" si="5"/>
        <v>3.0299999999999997E-3</v>
      </c>
      <c r="G62" s="29">
        <f t="shared" si="4"/>
        <v>3.03</v>
      </c>
    </row>
    <row r="63" spans="3:7" x14ac:dyDescent="0.5">
      <c r="C63" s="29">
        <v>33</v>
      </c>
      <c r="D63" s="29">
        <f t="shared" si="3"/>
        <v>30.75</v>
      </c>
      <c r="E63" s="29">
        <v>6.48</v>
      </c>
      <c r="F63" s="29">
        <f t="shared" si="5"/>
        <v>3.075E-3</v>
      </c>
      <c r="G63" s="29">
        <f t="shared" si="4"/>
        <v>3.0750000000000002</v>
      </c>
    </row>
    <row r="64" spans="3:7" x14ac:dyDescent="0.5">
      <c r="C64" s="29">
        <v>33.5</v>
      </c>
      <c r="D64" s="29">
        <f t="shared" si="3"/>
        <v>31.25</v>
      </c>
      <c r="E64" s="29">
        <v>6.64</v>
      </c>
      <c r="F64" s="29">
        <f t="shared" si="5"/>
        <v>3.1250000000000002E-3</v>
      </c>
      <c r="G64" s="29">
        <f t="shared" si="4"/>
        <v>3.125</v>
      </c>
    </row>
    <row r="65" spans="3:7" x14ac:dyDescent="0.5">
      <c r="C65" s="29">
        <v>33.979999999999997</v>
      </c>
      <c r="D65" s="29">
        <f t="shared" si="3"/>
        <v>31.729999999999997</v>
      </c>
      <c r="E65" s="29">
        <v>6.8</v>
      </c>
      <c r="F65" s="29">
        <f t="shared" si="5"/>
        <v>3.1729999999999996E-3</v>
      </c>
      <c r="G65" s="29">
        <f t="shared" si="4"/>
        <v>3.1729999999999996</v>
      </c>
    </row>
    <row r="66" spans="3:7" x14ac:dyDescent="0.5">
      <c r="C66" s="29">
        <v>34.49</v>
      </c>
      <c r="D66" s="29">
        <f t="shared" ref="D66:D97" si="6">C66-$B$1</f>
        <v>32.24</v>
      </c>
      <c r="E66" s="29">
        <v>7.1</v>
      </c>
      <c r="F66" s="29">
        <f t="shared" si="5"/>
        <v>3.2240000000000007E-3</v>
      </c>
      <c r="G66" s="29">
        <f t="shared" ref="G66:G97" si="7">F66/$B$6</f>
        <v>3.2240000000000006</v>
      </c>
    </row>
    <row r="67" spans="3:7" x14ac:dyDescent="0.5">
      <c r="C67" s="29">
        <v>35.01</v>
      </c>
      <c r="D67" s="29">
        <f t="shared" si="6"/>
        <v>32.76</v>
      </c>
      <c r="E67" s="29">
        <v>7.46</v>
      </c>
      <c r="F67" s="29">
        <f t="shared" ref="F67:F90" si="8">(D67/1000)*($B$3)</f>
        <v>3.2759999999999998E-3</v>
      </c>
      <c r="G67" s="29">
        <f t="shared" si="7"/>
        <v>3.2759999999999998</v>
      </c>
    </row>
    <row r="68" spans="3:7" x14ac:dyDescent="0.5">
      <c r="C68" s="29">
        <v>35.51</v>
      </c>
      <c r="D68" s="29">
        <f t="shared" si="6"/>
        <v>33.26</v>
      </c>
      <c r="E68" s="29">
        <v>8</v>
      </c>
      <c r="F68" s="29">
        <f t="shared" si="8"/>
        <v>3.326E-3</v>
      </c>
      <c r="G68" s="29">
        <f t="shared" si="7"/>
        <v>3.3260000000000001</v>
      </c>
    </row>
    <row r="69" spans="3:7" x14ac:dyDescent="0.5">
      <c r="C69" s="29">
        <v>36</v>
      </c>
      <c r="D69" s="29">
        <f t="shared" si="6"/>
        <v>33.75</v>
      </c>
      <c r="E69" s="29">
        <v>8.31</v>
      </c>
      <c r="F69" s="29">
        <f t="shared" si="8"/>
        <v>3.3750000000000004E-3</v>
      </c>
      <c r="G69" s="29">
        <f t="shared" si="7"/>
        <v>3.3750000000000004</v>
      </c>
    </row>
    <row r="70" spans="3:7" x14ac:dyDescent="0.5">
      <c r="C70" s="29">
        <v>36.51</v>
      </c>
      <c r="D70" s="29">
        <f t="shared" si="6"/>
        <v>34.26</v>
      </c>
      <c r="E70" s="29">
        <v>8.6199999999999992</v>
      </c>
      <c r="F70" s="29">
        <f t="shared" si="8"/>
        <v>3.4260000000000002E-3</v>
      </c>
      <c r="G70" s="29">
        <f t="shared" si="7"/>
        <v>3.4260000000000002</v>
      </c>
    </row>
    <row r="71" spans="3:7" x14ac:dyDescent="0.5">
      <c r="C71" s="29">
        <v>36.99</v>
      </c>
      <c r="D71" s="29">
        <f t="shared" si="6"/>
        <v>34.74</v>
      </c>
      <c r="E71" s="29">
        <v>8.81</v>
      </c>
      <c r="F71" s="29">
        <f t="shared" si="8"/>
        <v>3.4740000000000001E-3</v>
      </c>
      <c r="G71" s="29">
        <f t="shared" si="7"/>
        <v>3.4740000000000002</v>
      </c>
    </row>
    <row r="72" spans="3:7" x14ac:dyDescent="0.5">
      <c r="C72" s="29">
        <v>37.58</v>
      </c>
      <c r="D72" s="29">
        <f t="shared" si="6"/>
        <v>35.33</v>
      </c>
      <c r="E72" s="29">
        <v>8.9700000000000006</v>
      </c>
      <c r="F72" s="29">
        <f t="shared" si="8"/>
        <v>3.5330000000000001E-3</v>
      </c>
      <c r="G72" s="29">
        <f t="shared" si="7"/>
        <v>3.5329999999999999</v>
      </c>
    </row>
    <row r="73" spans="3:7" x14ac:dyDescent="0.5">
      <c r="C73" s="29">
        <v>38.01</v>
      </c>
      <c r="D73" s="29">
        <f t="shared" si="6"/>
        <v>35.76</v>
      </c>
      <c r="E73" s="29">
        <v>9.09</v>
      </c>
      <c r="F73" s="29">
        <f t="shared" si="8"/>
        <v>3.5760000000000002E-3</v>
      </c>
      <c r="G73" s="29">
        <f t="shared" si="7"/>
        <v>3.5760000000000001</v>
      </c>
    </row>
    <row r="74" spans="3:7" x14ac:dyDescent="0.5">
      <c r="C74" s="29">
        <v>38.520000000000003</v>
      </c>
      <c r="D74" s="29">
        <f t="shared" si="6"/>
        <v>36.270000000000003</v>
      </c>
      <c r="E74" s="29">
        <v>9.16</v>
      </c>
      <c r="F74" s="29">
        <f t="shared" si="8"/>
        <v>3.6270000000000004E-3</v>
      </c>
      <c r="G74" s="29">
        <f t="shared" si="7"/>
        <v>3.6270000000000002</v>
      </c>
    </row>
    <row r="75" spans="3:7" x14ac:dyDescent="0.5">
      <c r="C75" s="29">
        <v>38.979999999999997</v>
      </c>
      <c r="D75" s="29">
        <f t="shared" si="6"/>
        <v>36.729999999999997</v>
      </c>
      <c r="E75" s="29">
        <v>9.2799999999999994</v>
      </c>
      <c r="F75" s="29">
        <f t="shared" si="8"/>
        <v>3.673E-3</v>
      </c>
      <c r="G75" s="29">
        <f t="shared" si="7"/>
        <v>3.673</v>
      </c>
    </row>
    <row r="76" spans="3:7" x14ac:dyDescent="0.5">
      <c r="C76" s="29">
        <v>39.51</v>
      </c>
      <c r="D76" s="29">
        <f t="shared" si="6"/>
        <v>37.26</v>
      </c>
      <c r="E76" s="29">
        <v>9.3800000000000008</v>
      </c>
      <c r="F76" s="29">
        <f t="shared" si="8"/>
        <v>3.7260000000000001E-3</v>
      </c>
      <c r="G76" s="29">
        <f t="shared" si="7"/>
        <v>3.726</v>
      </c>
    </row>
    <row r="77" spans="3:7" x14ac:dyDescent="0.5">
      <c r="C77" s="29">
        <v>40</v>
      </c>
      <c r="D77" s="29">
        <f t="shared" si="6"/>
        <v>37.75</v>
      </c>
      <c r="E77" s="29">
        <v>9.44</v>
      </c>
      <c r="F77" s="29">
        <f t="shared" si="8"/>
        <v>3.7750000000000001E-3</v>
      </c>
      <c r="G77" s="29">
        <f t="shared" si="7"/>
        <v>3.7749999999999999</v>
      </c>
    </row>
    <row r="78" spans="3:7" x14ac:dyDescent="0.5">
      <c r="C78" s="29">
        <v>40.51</v>
      </c>
      <c r="D78" s="29">
        <f t="shared" si="6"/>
        <v>38.26</v>
      </c>
      <c r="E78" s="29">
        <v>9.58</v>
      </c>
      <c r="F78" s="29">
        <f t="shared" si="8"/>
        <v>3.8259999999999995E-3</v>
      </c>
      <c r="G78" s="29">
        <f t="shared" si="7"/>
        <v>3.8259999999999996</v>
      </c>
    </row>
    <row r="79" spans="3:7" x14ac:dyDescent="0.5">
      <c r="C79" s="29">
        <v>41</v>
      </c>
      <c r="D79" s="29">
        <f t="shared" si="6"/>
        <v>38.75</v>
      </c>
      <c r="E79" s="29">
        <v>9.65</v>
      </c>
      <c r="F79" s="29">
        <f t="shared" si="8"/>
        <v>3.875E-3</v>
      </c>
      <c r="G79" s="29">
        <f t="shared" si="7"/>
        <v>3.875</v>
      </c>
    </row>
    <row r="80" spans="3:7" x14ac:dyDescent="0.5">
      <c r="C80" s="29">
        <v>41.52</v>
      </c>
      <c r="D80" s="29">
        <f t="shared" si="6"/>
        <v>39.270000000000003</v>
      </c>
      <c r="E80" s="29">
        <v>9.7799999999999994</v>
      </c>
      <c r="F80" s="29">
        <f t="shared" si="8"/>
        <v>3.9270000000000008E-3</v>
      </c>
      <c r="G80" s="29">
        <f t="shared" si="7"/>
        <v>3.9270000000000009</v>
      </c>
    </row>
    <row r="81" spans="3:7" x14ac:dyDescent="0.5">
      <c r="C81" s="29">
        <v>42.02</v>
      </c>
      <c r="D81" s="29">
        <f t="shared" si="6"/>
        <v>39.770000000000003</v>
      </c>
      <c r="E81" s="29">
        <v>9.9</v>
      </c>
      <c r="F81" s="29">
        <f t="shared" si="8"/>
        <v>3.9770000000000005E-3</v>
      </c>
      <c r="G81" s="29">
        <f t="shared" si="7"/>
        <v>3.9770000000000003</v>
      </c>
    </row>
    <row r="82" spans="3:7" x14ac:dyDescent="0.5">
      <c r="C82" s="29">
        <v>42.51</v>
      </c>
      <c r="D82" s="29">
        <f t="shared" si="6"/>
        <v>40.26</v>
      </c>
      <c r="E82" s="29">
        <v>10.01</v>
      </c>
      <c r="F82" s="29">
        <f t="shared" si="8"/>
        <v>4.0260000000000001E-3</v>
      </c>
      <c r="G82" s="29">
        <f t="shared" si="7"/>
        <v>4.0259999999999998</v>
      </c>
    </row>
    <row r="83" spans="3:7" x14ac:dyDescent="0.5">
      <c r="C83" s="29">
        <v>43</v>
      </c>
      <c r="D83" s="29">
        <f t="shared" si="6"/>
        <v>40.75</v>
      </c>
      <c r="E83" s="29">
        <v>10.1</v>
      </c>
      <c r="F83" s="29">
        <f t="shared" si="8"/>
        <v>4.0750000000000005E-3</v>
      </c>
      <c r="G83" s="29">
        <f t="shared" si="7"/>
        <v>4.0750000000000002</v>
      </c>
    </row>
    <row r="84" spans="3:7" x14ac:dyDescent="0.5">
      <c r="C84" s="29">
        <v>43.51</v>
      </c>
      <c r="D84" s="29">
        <f t="shared" si="6"/>
        <v>41.26</v>
      </c>
      <c r="E84" s="29">
        <v>10.220000000000001</v>
      </c>
      <c r="F84" s="29">
        <f t="shared" si="8"/>
        <v>4.1260000000000003E-3</v>
      </c>
      <c r="G84" s="29">
        <f t="shared" si="7"/>
        <v>4.1260000000000003</v>
      </c>
    </row>
    <row r="85" spans="3:7" x14ac:dyDescent="0.5">
      <c r="C85" s="29">
        <v>44</v>
      </c>
      <c r="D85" s="29">
        <f t="shared" si="6"/>
        <v>41.75</v>
      </c>
      <c r="E85" s="29">
        <v>10.4</v>
      </c>
      <c r="F85" s="29">
        <f t="shared" si="8"/>
        <v>4.1750000000000008E-3</v>
      </c>
      <c r="G85" s="29">
        <f t="shared" si="7"/>
        <v>4.1750000000000007</v>
      </c>
    </row>
    <row r="86" spans="3:7" x14ac:dyDescent="0.5">
      <c r="C86" s="29">
        <v>44.58</v>
      </c>
      <c r="D86" s="29">
        <f t="shared" si="6"/>
        <v>42.33</v>
      </c>
      <c r="E86" s="29">
        <v>10.6</v>
      </c>
      <c r="F86" s="29">
        <f t="shared" si="8"/>
        <v>4.2329999999999998E-3</v>
      </c>
      <c r="G86" s="29">
        <f t="shared" si="7"/>
        <v>4.2329999999999997</v>
      </c>
    </row>
    <row r="87" spans="3:7" x14ac:dyDescent="0.5">
      <c r="C87" s="29">
        <v>45.09</v>
      </c>
      <c r="D87" s="29">
        <f t="shared" si="6"/>
        <v>42.84</v>
      </c>
      <c r="E87" s="29">
        <v>10.74</v>
      </c>
      <c r="F87" s="29">
        <f t="shared" si="8"/>
        <v>4.2840000000000005E-3</v>
      </c>
      <c r="G87" s="29">
        <f t="shared" si="7"/>
        <v>4.2840000000000007</v>
      </c>
    </row>
    <row r="88" spans="3:7" x14ac:dyDescent="0.5">
      <c r="C88" s="29">
        <v>45.55</v>
      </c>
      <c r="D88" s="29">
        <f t="shared" si="6"/>
        <v>43.3</v>
      </c>
      <c r="E88" s="29">
        <v>10.87</v>
      </c>
      <c r="F88" s="29">
        <f t="shared" si="8"/>
        <v>4.3299999999999996E-3</v>
      </c>
      <c r="G88" s="29">
        <f t="shared" si="7"/>
        <v>4.3299999999999992</v>
      </c>
    </row>
    <row r="89" spans="3:7" x14ac:dyDescent="0.5">
      <c r="C89" s="29">
        <v>46.02</v>
      </c>
      <c r="D89" s="29">
        <f t="shared" si="6"/>
        <v>43.77</v>
      </c>
      <c r="E89" s="29">
        <v>10.96</v>
      </c>
      <c r="F89" s="29">
        <f t="shared" si="8"/>
        <v>4.3770000000000007E-3</v>
      </c>
      <c r="G89" s="29">
        <f t="shared" si="7"/>
        <v>4.3770000000000007</v>
      </c>
    </row>
    <row r="90" spans="3:7" x14ac:dyDescent="0.5">
      <c r="C90" s="29">
        <v>46.51</v>
      </c>
      <c r="D90" s="29">
        <f t="shared" si="6"/>
        <v>44.26</v>
      </c>
      <c r="E90" s="29">
        <v>11.04</v>
      </c>
      <c r="F90" s="29">
        <f t="shared" si="8"/>
        <v>4.4260000000000002E-3</v>
      </c>
      <c r="G90" s="29">
        <f t="shared" si="7"/>
        <v>4.4260000000000002</v>
      </c>
    </row>
    <row r="91" spans="3:7" x14ac:dyDescent="0.5">
      <c r="C91" s="29"/>
      <c r="D91" s="29"/>
      <c r="E91" s="29"/>
      <c r="F91" s="29"/>
      <c r="G91" s="29"/>
    </row>
    <row r="92" spans="3:7" x14ac:dyDescent="0.5">
      <c r="C92" s="31"/>
      <c r="D92" s="31"/>
      <c r="E92" s="31"/>
      <c r="F92" s="31"/>
      <c r="G92" s="31"/>
    </row>
    <row r="93" spans="3:7" x14ac:dyDescent="0.5">
      <c r="C93" s="31"/>
      <c r="D93" s="31"/>
      <c r="E93" s="31"/>
      <c r="F93" s="31"/>
      <c r="G93" s="31"/>
    </row>
    <row r="94" spans="3:7" x14ac:dyDescent="0.5">
      <c r="C94" s="31"/>
      <c r="D94" s="31"/>
      <c r="E94" s="31"/>
      <c r="F94" s="31"/>
      <c r="G94" s="31"/>
    </row>
    <row r="95" spans="3:7" x14ac:dyDescent="0.5">
      <c r="C95" s="31"/>
      <c r="D95" s="31"/>
      <c r="E95" s="31"/>
      <c r="F95" s="31"/>
      <c r="G95" s="31"/>
    </row>
    <row r="96" spans="3:7" x14ac:dyDescent="0.5">
      <c r="C96" s="31"/>
      <c r="D96" s="31"/>
      <c r="E96" s="31"/>
      <c r="F96" s="31"/>
      <c r="G96" s="31"/>
    </row>
    <row r="97" spans="3:7" x14ac:dyDescent="0.5">
      <c r="C97" s="31"/>
      <c r="D97" s="31"/>
      <c r="E97" s="31"/>
      <c r="F97" s="31"/>
      <c r="G97" s="31"/>
    </row>
    <row r="98" spans="3:7" x14ac:dyDescent="0.5">
      <c r="C98" s="31"/>
      <c r="D98" s="31"/>
      <c r="E98" s="31"/>
      <c r="F98" s="31"/>
      <c r="G98" s="31"/>
    </row>
    <row r="99" spans="3:7" x14ac:dyDescent="0.5">
      <c r="C99" s="31"/>
      <c r="D99" s="31"/>
      <c r="E99" s="31"/>
      <c r="F99" s="31"/>
      <c r="G99" s="31"/>
    </row>
    <row r="100" spans="3:7" x14ac:dyDescent="0.5">
      <c r="C100" s="31"/>
      <c r="D100" s="31"/>
      <c r="E100" s="31"/>
      <c r="F100" s="31"/>
      <c r="G100" s="31"/>
    </row>
    <row r="101" spans="3:7" x14ac:dyDescent="0.5">
      <c r="C101" s="31"/>
      <c r="D101" s="31"/>
      <c r="E101" s="31"/>
      <c r="F101" s="31"/>
      <c r="G101" s="31"/>
    </row>
    <row r="102" spans="3:7" x14ac:dyDescent="0.5">
      <c r="C102" s="31"/>
      <c r="D102" s="31"/>
      <c r="E102" s="31"/>
      <c r="F102" s="31"/>
      <c r="G102" s="31"/>
    </row>
    <row r="103" spans="3:7" x14ac:dyDescent="0.5">
      <c r="C103" s="31"/>
      <c r="D103" s="31"/>
      <c r="E103" s="31"/>
      <c r="F103" s="31"/>
      <c r="G103" s="31"/>
    </row>
    <row r="104" spans="3:7" x14ac:dyDescent="0.5">
      <c r="C104" s="31"/>
      <c r="D104" s="31"/>
      <c r="E104" s="31"/>
      <c r="F104" s="31"/>
      <c r="G104" s="31"/>
    </row>
    <row r="105" spans="3:7" x14ac:dyDescent="0.5">
      <c r="C105" s="31"/>
      <c r="D105" s="31"/>
      <c r="E105" s="31"/>
      <c r="F105" s="31"/>
      <c r="G105" s="31"/>
    </row>
    <row r="106" spans="3:7" x14ac:dyDescent="0.5">
      <c r="C106" s="31"/>
      <c r="D106" s="31"/>
      <c r="E106" s="31"/>
      <c r="F106" s="31"/>
      <c r="G106" s="31"/>
    </row>
    <row r="107" spans="3:7" x14ac:dyDescent="0.5">
      <c r="C107" s="31"/>
      <c r="D107" s="31"/>
      <c r="E107" s="31"/>
      <c r="F107" s="31"/>
      <c r="G107" s="31"/>
    </row>
    <row r="108" spans="3:7" x14ac:dyDescent="0.5">
      <c r="C108" s="31"/>
      <c r="D108" s="31"/>
      <c r="E108" s="31"/>
      <c r="F108" s="31"/>
      <c r="G108" s="31"/>
    </row>
    <row r="109" spans="3:7" x14ac:dyDescent="0.5">
      <c r="C109" s="31"/>
      <c r="D109" s="31"/>
      <c r="E109" s="31"/>
      <c r="F109" s="31"/>
      <c r="G109" s="31"/>
    </row>
    <row r="110" spans="3:7" x14ac:dyDescent="0.5">
      <c r="C110" s="31"/>
      <c r="D110" s="31"/>
      <c r="E110" s="31"/>
      <c r="F110" s="31"/>
      <c r="G110" s="31"/>
    </row>
    <row r="111" spans="3:7" x14ac:dyDescent="0.5">
      <c r="C111" s="31"/>
      <c r="D111" s="31"/>
      <c r="E111" s="31"/>
      <c r="F111" s="31"/>
      <c r="G111" s="31"/>
    </row>
    <row r="112" spans="3:7" x14ac:dyDescent="0.5">
      <c r="C112" s="31"/>
      <c r="D112" s="31"/>
      <c r="E112" s="31"/>
      <c r="F112" s="31"/>
      <c r="G112" s="31"/>
    </row>
    <row r="113" spans="3:7" x14ac:dyDescent="0.5">
      <c r="C113" s="31"/>
      <c r="D113" s="31"/>
      <c r="E113" s="31"/>
      <c r="F113" s="31"/>
      <c r="G113" s="31"/>
    </row>
    <row r="114" spans="3:7" x14ac:dyDescent="0.5">
      <c r="C114" s="31"/>
      <c r="D114" s="31"/>
      <c r="E114" s="31"/>
      <c r="F114" s="31"/>
      <c r="G114" s="31"/>
    </row>
    <row r="115" spans="3:7" x14ac:dyDescent="0.5">
      <c r="C115" s="31"/>
      <c r="D115" s="31"/>
      <c r="E115" s="31"/>
      <c r="F115" s="31"/>
      <c r="G115" s="31"/>
    </row>
    <row r="116" spans="3:7" x14ac:dyDescent="0.5">
      <c r="C116" s="31"/>
      <c r="D116" s="31"/>
      <c r="E116" s="31"/>
      <c r="F116" s="31"/>
      <c r="G116" s="31"/>
    </row>
    <row r="117" spans="3:7" x14ac:dyDescent="0.5">
      <c r="C117" s="31"/>
      <c r="D117" s="31"/>
      <c r="E117" s="31"/>
      <c r="F117" s="31"/>
      <c r="G117" s="31"/>
    </row>
    <row r="118" spans="3:7" x14ac:dyDescent="0.5">
      <c r="C118" s="31"/>
      <c r="D118" s="31"/>
      <c r="E118" s="31"/>
      <c r="F118" s="31"/>
      <c r="G118" s="31"/>
    </row>
    <row r="119" spans="3:7" x14ac:dyDescent="0.5">
      <c r="C119" s="31"/>
      <c r="D119" s="31"/>
      <c r="E119" s="31"/>
      <c r="F119" s="31"/>
      <c r="G119" s="31"/>
    </row>
    <row r="120" spans="3:7" x14ac:dyDescent="0.5">
      <c r="C120" s="31"/>
      <c r="D120" s="31"/>
      <c r="E120" s="31"/>
      <c r="F120" s="31"/>
      <c r="G120" s="31"/>
    </row>
    <row r="121" spans="3:7" x14ac:dyDescent="0.5">
      <c r="C121" s="31"/>
      <c r="D121" s="31"/>
      <c r="E121" s="31"/>
      <c r="F121" s="31"/>
      <c r="G121" s="31"/>
    </row>
    <row r="122" spans="3:7" x14ac:dyDescent="0.5">
      <c r="C122" s="31"/>
      <c r="D122" s="31"/>
      <c r="E122" s="31"/>
      <c r="F122" s="31"/>
      <c r="G122" s="31"/>
    </row>
    <row r="123" spans="3:7" x14ac:dyDescent="0.5">
      <c r="C123" s="31"/>
      <c r="D123" s="31"/>
      <c r="E123" s="31"/>
      <c r="F123" s="31"/>
      <c r="G123" s="31"/>
    </row>
    <row r="124" spans="3:7" x14ac:dyDescent="0.5">
      <c r="C124" s="31"/>
      <c r="D124" s="31"/>
      <c r="E124" s="31"/>
      <c r="F124" s="31"/>
      <c r="G124" s="31"/>
    </row>
    <row r="125" spans="3:7" x14ac:dyDescent="0.5">
      <c r="C125" s="31"/>
      <c r="D125" s="31"/>
      <c r="E125" s="31"/>
      <c r="F125" s="31"/>
      <c r="G125" s="31"/>
    </row>
    <row r="126" spans="3:7" x14ac:dyDescent="0.5">
      <c r="C126" s="31"/>
      <c r="D126" s="31"/>
      <c r="E126" s="31"/>
      <c r="F126" s="31"/>
      <c r="G126" s="31"/>
    </row>
    <row r="127" spans="3:7" x14ac:dyDescent="0.5">
      <c r="C127" s="31"/>
      <c r="D127" s="31"/>
      <c r="E127" s="31"/>
      <c r="F127" s="31"/>
      <c r="G127" s="31"/>
    </row>
    <row r="128" spans="3:7" x14ac:dyDescent="0.5">
      <c r="C128" s="31"/>
      <c r="D128" s="31"/>
      <c r="E128" s="31"/>
      <c r="F128" s="31"/>
      <c r="G128" s="31"/>
    </row>
    <row r="129" spans="3:7" x14ac:dyDescent="0.5">
      <c r="C129" s="31"/>
      <c r="D129" s="31"/>
      <c r="E129" s="31"/>
      <c r="F129" s="31"/>
      <c r="G129" s="31"/>
    </row>
    <row r="130" spans="3:7" x14ac:dyDescent="0.5">
      <c r="C130" s="31"/>
      <c r="D130" s="31"/>
      <c r="E130" s="31"/>
      <c r="F130" s="31"/>
      <c r="G130" s="31"/>
    </row>
    <row r="131" spans="3:7" x14ac:dyDescent="0.5">
      <c r="C131" s="31"/>
      <c r="D131" s="31"/>
      <c r="E131" s="31"/>
      <c r="F131" s="31"/>
      <c r="G131" s="31"/>
    </row>
    <row r="132" spans="3:7" x14ac:dyDescent="0.5">
      <c r="C132" s="31"/>
      <c r="D132" s="31"/>
      <c r="E132" s="31"/>
      <c r="F132" s="31"/>
      <c r="G132" s="31"/>
    </row>
    <row r="133" spans="3:7" x14ac:dyDescent="0.5">
      <c r="C133" s="31"/>
      <c r="D133" s="31"/>
      <c r="E133" s="31"/>
      <c r="F133" s="31"/>
      <c r="G133" s="31"/>
    </row>
    <row r="134" spans="3:7" x14ac:dyDescent="0.5">
      <c r="C134" s="31"/>
      <c r="D134" s="31"/>
      <c r="E134" s="31"/>
      <c r="F134" s="31"/>
      <c r="G134" s="31"/>
    </row>
    <row r="135" spans="3:7" x14ac:dyDescent="0.5">
      <c r="C135" s="31"/>
      <c r="D135" s="31"/>
      <c r="E135" s="31"/>
      <c r="F135" s="31"/>
      <c r="G135" s="31"/>
    </row>
    <row r="136" spans="3:7" x14ac:dyDescent="0.5">
      <c r="C136" s="31"/>
      <c r="D136" s="31"/>
      <c r="E136" s="31"/>
      <c r="F136" s="31"/>
      <c r="G136" s="31"/>
    </row>
    <row r="137" spans="3:7" x14ac:dyDescent="0.5">
      <c r="C137" s="31"/>
      <c r="D137" s="31"/>
      <c r="E137" s="31"/>
      <c r="F137" s="31"/>
      <c r="G137" s="31"/>
    </row>
    <row r="138" spans="3:7" x14ac:dyDescent="0.5">
      <c r="C138" s="31"/>
      <c r="D138" s="31"/>
      <c r="E138" s="31"/>
      <c r="F138" s="31"/>
      <c r="G138" s="31"/>
    </row>
  </sheetData>
  <mergeCells count="6">
    <mergeCell ref="R28:S28"/>
    <mergeCell ref="R3:S3"/>
    <mergeCell ref="R8:S8"/>
    <mergeCell ref="R13:S13"/>
    <mergeCell ref="R18:S18"/>
    <mergeCell ref="R23:S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Measurement</vt:lpstr>
      <vt:lpstr>Histidine</vt:lpstr>
      <vt:lpstr>Histidine - Volume</vt:lpstr>
      <vt:lpstr>Unknown E</vt:lpstr>
      <vt:lpstr>Unknown E - Volume</vt:lpstr>
      <vt:lpstr>Unknown K</vt:lpstr>
      <vt:lpstr>Unknown K - Volume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Levenshteyn, Julia R</dc:creator>
  <cp:keywords/>
  <dc:description/>
  <cp:lastModifiedBy>Berlin, Ilana F</cp:lastModifiedBy>
  <cp:revision/>
  <dcterms:created xsi:type="dcterms:W3CDTF">2025-08-26T20:09:42Z</dcterms:created>
  <dcterms:modified xsi:type="dcterms:W3CDTF">2025-09-04T04:15:06Z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2025-08-30T00:30:43Z</vt:lpwstr>
  </property>
  <property fmtid="{D5CDD505-2E9C-101B-9397-08002B2CF9AE}" pid="4" name="MSIP_Label_f2dee603-0001-4639-81f8-0608a53322f1_Method">
    <vt:lpwstr>Privileged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19841fdd-4f94-468e-8f6a-f915faa3f518</vt:lpwstr>
  </property>
  <property fmtid="{D5CDD505-2E9C-101B-9397-08002B2CF9AE}" pid="8" name="MSIP_Label_f2dee603-0001-4639-81f8-0608a53322f1_ContentBits">
    <vt:lpwstr>0</vt:lpwstr>
  </property>
</Properties>
</file>