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lana\Downloads\"/>
    </mc:Choice>
  </mc:AlternateContent>
  <xr:revisionPtr revIDLastSave="0" documentId="8_{8EEC0CBE-CB56-4A1D-AFE5-EC00DEE64133}" xr6:coauthVersionLast="47" xr6:coauthVersionMax="47" xr10:uidLastSave="{00000000-0000-0000-0000-000000000000}"/>
  <bookViews>
    <workbookView xWindow="-98" yWindow="-98" windowWidth="21795" windowHeight="12975" tabRatio="920" firstSheet="3" activeTab="3" xr2:uid="{5B4246B5-CB1A-554A-9A63-96E012BC4D87}"/>
  </bookViews>
  <sheets>
    <sheet name="Buffer Prep" sheetId="1" r:id="rId1"/>
    <sheet name="Kinetics Assay" sheetId="2" r:id="rId2"/>
    <sheet name="Kinetic Assay - new protein" sheetId="3" r:id="rId3"/>
    <sheet name="Kinetics Assay Week 2" sheetId="4" r:id="rId4"/>
    <sheet name="Kinetics Week 2_Inhib1_c1" sheetId="6" r:id="rId5"/>
    <sheet name="Kinetics Week 2_Inhib1_c2" sheetId="7" r:id="rId6"/>
    <sheet name="Kinetics Week 2_Inhib1_c3" sheetId="9" r:id="rId7"/>
    <sheet name="Inhib1_c3 together" sheetId="8" r:id="rId8"/>
    <sheet name="Kinetics Assay Week 3" sheetId="10" r:id="rId9"/>
    <sheet name="Kinetics Week 3_Inhib2_c1 " sheetId="11" r:id="rId10"/>
    <sheet name="Kinetics Week 3_Inhib2_c2" sheetId="12" r:id="rId11"/>
    <sheet name="Kinetics Week 3_Inhib2_c3" sheetId="13" r:id="rId12"/>
    <sheet name="Week 3 Inhib_together" sheetId="14" r:id="rId1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A5" i="14"/>
  <c r="A4" i="14"/>
  <c r="A3" i="14"/>
  <c r="L2" i="11"/>
  <c r="F13" i="10"/>
  <c r="I3" i="10"/>
  <c r="C12" i="10"/>
  <c r="D20" i="13"/>
  <c r="D20" i="12"/>
  <c r="D20" i="11"/>
  <c r="C14" i="10"/>
  <c r="C15" i="10"/>
  <c r="B2" i="10"/>
  <c r="B3" i="10"/>
  <c r="L3" i="13"/>
  <c r="N3" i="13"/>
  <c r="K4" i="14"/>
  <c r="L4" i="13"/>
  <c r="N4" i="13"/>
  <c r="K5" i="14"/>
  <c r="L5" i="13"/>
  <c r="N5" i="13"/>
  <c r="K6" i="14"/>
  <c r="L2" i="13"/>
  <c r="N2" i="13"/>
  <c r="K3" i="14"/>
  <c r="J4" i="14"/>
  <c r="J5" i="14"/>
  <c r="J6" i="14"/>
  <c r="J3" i="14"/>
  <c r="L3" i="12"/>
  <c r="N3" i="12"/>
  <c r="H4" i="14"/>
  <c r="L4" i="12"/>
  <c r="N4" i="12"/>
  <c r="H5" i="14"/>
  <c r="L5" i="12"/>
  <c r="N5" i="12"/>
  <c r="H6" i="14"/>
  <c r="L2" i="12"/>
  <c r="N2" i="12"/>
  <c r="H3" i="14"/>
  <c r="G4" i="14"/>
  <c r="G5" i="14"/>
  <c r="G6" i="14"/>
  <c r="G3" i="14"/>
  <c r="L3" i="11"/>
  <c r="N3" i="11"/>
  <c r="E4" i="14"/>
  <c r="L4" i="11"/>
  <c r="N4" i="11"/>
  <c r="E5" i="14"/>
  <c r="L5" i="11"/>
  <c r="N5" i="11"/>
  <c r="E6" i="14"/>
  <c r="N2" i="11"/>
  <c r="E3" i="14"/>
  <c r="D4" i="14"/>
  <c r="D5" i="14"/>
  <c r="D6" i="14"/>
  <c r="D3" i="14"/>
  <c r="J3" i="10"/>
  <c r="L3" i="10"/>
  <c r="B4" i="14"/>
  <c r="J4" i="10"/>
  <c r="L4" i="10"/>
  <c r="B5" i="14"/>
  <c r="J5" i="10"/>
  <c r="L5" i="10"/>
  <c r="B6" i="14"/>
  <c r="J2" i="10"/>
  <c r="L2" i="10"/>
  <c r="B3" i="14"/>
  <c r="H3" i="10"/>
  <c r="K3" i="10"/>
  <c r="H4" i="10"/>
  <c r="K4" i="10"/>
  <c r="H5" i="10"/>
  <c r="K5" i="10"/>
  <c r="A6" i="14"/>
  <c r="H2" i="10"/>
  <c r="K2" i="10"/>
  <c r="B9" i="14"/>
  <c r="K9" i="14"/>
  <c r="O18" i="14"/>
  <c r="K8" i="14"/>
  <c r="B8" i="14"/>
  <c r="N18" i="14"/>
  <c r="H9" i="14"/>
  <c r="O17" i="14"/>
  <c r="H8" i="14"/>
  <c r="N17" i="14"/>
  <c r="E9" i="14"/>
  <c r="O16" i="14"/>
  <c r="E8" i="14"/>
  <c r="N16" i="14"/>
  <c r="D18" i="13"/>
  <c r="J2" i="13"/>
  <c r="M2" i="13"/>
  <c r="J3" i="13"/>
  <c r="M3" i="13"/>
  <c r="J4" i="13"/>
  <c r="M4" i="13"/>
  <c r="J5" i="13"/>
  <c r="M5" i="13"/>
  <c r="G19" i="13"/>
  <c r="G24" i="13"/>
  <c r="G20" i="13"/>
  <c r="G23" i="13"/>
  <c r="D21" i="13"/>
  <c r="G18" i="13"/>
  <c r="I5" i="13"/>
  <c r="H5" i="13"/>
  <c r="H2" i="13"/>
  <c r="B5" i="13"/>
  <c r="C2" i="13"/>
  <c r="C3" i="13"/>
  <c r="C4" i="13"/>
  <c r="C5" i="13"/>
  <c r="F5" i="13"/>
  <c r="I4" i="13"/>
  <c r="H4" i="13"/>
  <c r="B4" i="13"/>
  <c r="F4" i="13"/>
  <c r="I3" i="13"/>
  <c r="H3" i="13"/>
  <c r="B3" i="13"/>
  <c r="F3" i="13"/>
  <c r="I2" i="13"/>
  <c r="B2" i="13"/>
  <c r="F2" i="13"/>
  <c r="D18" i="12"/>
  <c r="J2" i="12"/>
  <c r="M2" i="12"/>
  <c r="J3" i="12"/>
  <c r="M3" i="12"/>
  <c r="J4" i="12"/>
  <c r="M4" i="12"/>
  <c r="J5" i="12"/>
  <c r="M5" i="12"/>
  <c r="G19" i="12"/>
  <c r="G24" i="12"/>
  <c r="G20" i="12"/>
  <c r="G23" i="12"/>
  <c r="D21" i="12"/>
  <c r="G18" i="12"/>
  <c r="I5" i="12"/>
  <c r="H5" i="12"/>
  <c r="H2" i="12"/>
  <c r="B5" i="12"/>
  <c r="C2" i="12"/>
  <c r="C3" i="12"/>
  <c r="C4" i="12"/>
  <c r="C5" i="12"/>
  <c r="F5" i="12"/>
  <c r="I4" i="12"/>
  <c r="H4" i="12"/>
  <c r="B4" i="12"/>
  <c r="F4" i="12"/>
  <c r="I3" i="12"/>
  <c r="H3" i="12"/>
  <c r="B3" i="12"/>
  <c r="F3" i="12"/>
  <c r="I2" i="12"/>
  <c r="B2" i="12"/>
  <c r="F2" i="12"/>
  <c r="D18" i="11"/>
  <c r="J2" i="11"/>
  <c r="M2" i="11"/>
  <c r="J3" i="11"/>
  <c r="M3" i="11"/>
  <c r="J4" i="11"/>
  <c r="M4" i="11"/>
  <c r="J5" i="11"/>
  <c r="M5" i="11"/>
  <c r="G19" i="11"/>
  <c r="G24" i="11"/>
  <c r="G20" i="11"/>
  <c r="G23" i="11"/>
  <c r="D21" i="11"/>
  <c r="G18" i="11"/>
  <c r="I5" i="11"/>
  <c r="H5" i="11"/>
  <c r="H2" i="11"/>
  <c r="B5" i="11"/>
  <c r="C2" i="11"/>
  <c r="C3" i="11"/>
  <c r="C4" i="11"/>
  <c r="C5" i="11"/>
  <c r="F5" i="11"/>
  <c r="I4" i="11"/>
  <c r="H4" i="11"/>
  <c r="B4" i="11"/>
  <c r="F4" i="11"/>
  <c r="I3" i="11"/>
  <c r="H3" i="11"/>
  <c r="B3" i="11"/>
  <c r="F3" i="11"/>
  <c r="I2" i="11"/>
  <c r="B2" i="11"/>
  <c r="F2" i="11"/>
  <c r="G5" i="10"/>
  <c r="B5" i="10"/>
  <c r="E5" i="10"/>
  <c r="G4" i="10"/>
  <c r="B4" i="10"/>
  <c r="E4" i="10"/>
  <c r="G3" i="10"/>
  <c r="E3" i="10"/>
  <c r="N18" i="8"/>
  <c r="N17" i="8"/>
  <c r="N16" i="8"/>
  <c r="O18" i="8"/>
  <c r="O17" i="8"/>
  <c r="O16" i="8"/>
  <c r="K8" i="8"/>
  <c r="K9" i="8"/>
  <c r="H9" i="8"/>
  <c r="H8" i="8"/>
  <c r="E9" i="8"/>
  <c r="E8" i="8"/>
  <c r="B8" i="8"/>
  <c r="F14" i="4"/>
  <c r="G20" i="9"/>
  <c r="B9" i="8"/>
  <c r="G23" i="9"/>
  <c r="G20" i="7"/>
  <c r="G23" i="7"/>
  <c r="G23" i="6"/>
  <c r="G20" i="6"/>
  <c r="F17" i="4"/>
  <c r="F13" i="4"/>
  <c r="H2" i="9"/>
  <c r="I2" i="9"/>
  <c r="H3" i="9"/>
  <c r="I3" i="9"/>
  <c r="H4" i="9"/>
  <c r="I4" i="9"/>
  <c r="H5" i="9"/>
  <c r="I5" i="9"/>
  <c r="B5" i="9"/>
  <c r="F5" i="9"/>
  <c r="M4" i="7"/>
  <c r="H2" i="7"/>
  <c r="L2" i="9"/>
  <c r="N2" i="9"/>
  <c r="D18" i="9"/>
  <c r="J2" i="9"/>
  <c r="M2" i="9"/>
  <c r="L3" i="9"/>
  <c r="N3" i="9"/>
  <c r="L4" i="9"/>
  <c r="N4" i="9"/>
  <c r="L5" i="9"/>
  <c r="N5" i="9"/>
  <c r="G19" i="9"/>
  <c r="G24" i="9"/>
  <c r="D21" i="9"/>
  <c r="D20" i="9"/>
  <c r="G18" i="9"/>
  <c r="J5" i="9"/>
  <c r="M5" i="9"/>
  <c r="C2" i="9"/>
  <c r="C3" i="9"/>
  <c r="C4" i="9"/>
  <c r="C5" i="9"/>
  <c r="J4" i="9"/>
  <c r="M4" i="9"/>
  <c r="B4" i="9"/>
  <c r="F4" i="9"/>
  <c r="J3" i="9"/>
  <c r="M3" i="9"/>
  <c r="B3" i="9"/>
  <c r="F3" i="9"/>
  <c r="B2" i="9"/>
  <c r="F2" i="9"/>
  <c r="H3" i="7"/>
  <c r="H4" i="7"/>
  <c r="H5" i="7"/>
  <c r="L2" i="7"/>
  <c r="N2" i="7"/>
  <c r="D18" i="7"/>
  <c r="J2" i="7"/>
  <c r="M2" i="7"/>
  <c r="L3" i="7"/>
  <c r="N3" i="7"/>
  <c r="L4" i="7"/>
  <c r="N4" i="7"/>
  <c r="L5" i="7"/>
  <c r="N5" i="7"/>
  <c r="G19" i="7"/>
  <c r="G24" i="7"/>
  <c r="D21" i="7"/>
  <c r="D20" i="7"/>
  <c r="G18" i="7"/>
  <c r="J5" i="7"/>
  <c r="M5" i="7"/>
  <c r="I5" i="7"/>
  <c r="B5" i="7"/>
  <c r="C2" i="7"/>
  <c r="C3" i="7"/>
  <c r="C4" i="7"/>
  <c r="C5" i="7"/>
  <c r="F5" i="7"/>
  <c r="J4" i="7"/>
  <c r="I4" i="7"/>
  <c r="B4" i="7"/>
  <c r="F4" i="7"/>
  <c r="J3" i="7"/>
  <c r="M3" i="7"/>
  <c r="I3" i="7"/>
  <c r="B3" i="7"/>
  <c r="F3" i="7"/>
  <c r="I2" i="7"/>
  <c r="B2" i="7"/>
  <c r="F2" i="7"/>
  <c r="I3" i="6"/>
  <c r="J2" i="6"/>
  <c r="C15" i="4"/>
  <c r="C14" i="4"/>
  <c r="B2" i="4"/>
  <c r="B5" i="4"/>
  <c r="B4" i="4"/>
  <c r="B3" i="4"/>
  <c r="C2" i="6"/>
  <c r="E2" i="4"/>
  <c r="E5" i="4"/>
  <c r="G5" i="4"/>
  <c r="C12" i="4"/>
  <c r="H5" i="4"/>
  <c r="J5" i="4"/>
  <c r="K5" i="4"/>
  <c r="L5" i="4"/>
  <c r="J4" i="4"/>
  <c r="H4" i="4"/>
  <c r="K4" i="4"/>
  <c r="L4" i="4"/>
  <c r="E4" i="4"/>
  <c r="G4" i="4"/>
  <c r="J3" i="4"/>
  <c r="L3" i="4"/>
  <c r="H3" i="4"/>
  <c r="K3" i="4"/>
  <c r="G3" i="4"/>
  <c r="E3" i="4"/>
  <c r="J2" i="4"/>
  <c r="G2" i="4"/>
  <c r="H2" i="4"/>
  <c r="K2" i="4"/>
  <c r="L2" i="4"/>
  <c r="H3" i="6"/>
  <c r="H4" i="6"/>
  <c r="H5" i="6"/>
  <c r="B4" i="6"/>
  <c r="F4" i="6"/>
  <c r="B5" i="6"/>
  <c r="F5" i="6"/>
  <c r="B2" i="6"/>
  <c r="F2" i="6"/>
  <c r="B3" i="6"/>
  <c r="F3" i="6"/>
  <c r="G43" i="1"/>
  <c r="C43" i="1"/>
  <c r="D43" i="1"/>
  <c r="B34" i="1"/>
  <c r="G34" i="1"/>
  <c r="C34" i="1"/>
  <c r="D34" i="1"/>
  <c r="L2" i="6"/>
  <c r="N2" i="6"/>
  <c r="D18" i="6"/>
  <c r="M2" i="6"/>
  <c r="L3" i="6"/>
  <c r="N3" i="6"/>
  <c r="L4" i="6"/>
  <c r="N4" i="6"/>
  <c r="L5" i="6"/>
  <c r="N5" i="6"/>
  <c r="G19" i="6"/>
  <c r="G24" i="6"/>
  <c r="D21" i="6"/>
  <c r="D20" i="6"/>
  <c r="G18" i="6"/>
  <c r="C3" i="6"/>
  <c r="C4" i="6"/>
  <c r="C5" i="6"/>
  <c r="J5" i="6"/>
  <c r="M5" i="6"/>
  <c r="I5" i="6"/>
  <c r="J4" i="6"/>
  <c r="M4" i="6"/>
  <c r="I4" i="6"/>
  <c r="J3" i="6"/>
  <c r="M3" i="6"/>
  <c r="I2" i="6"/>
  <c r="G23" i="1"/>
  <c r="F24" i="3"/>
  <c r="F19" i="3"/>
  <c r="F18" i="3"/>
  <c r="F23" i="3"/>
  <c r="F24" i="2"/>
  <c r="F19" i="2"/>
  <c r="F18" i="2"/>
  <c r="F23" i="2"/>
  <c r="C20" i="2"/>
  <c r="C20" i="3"/>
  <c r="C18" i="3"/>
  <c r="J4" i="3"/>
  <c r="L4" i="3"/>
  <c r="H4" i="3"/>
  <c r="K4" i="3"/>
  <c r="G4" i="3"/>
  <c r="E4" i="3"/>
  <c r="J3" i="3"/>
  <c r="L3" i="3"/>
  <c r="H3" i="3"/>
  <c r="K3" i="3"/>
  <c r="G3" i="3"/>
  <c r="E3" i="3"/>
  <c r="J2" i="3"/>
  <c r="L2" i="3"/>
  <c r="H2" i="3"/>
  <c r="K2" i="3"/>
  <c r="G2" i="3"/>
  <c r="E2" i="3"/>
  <c r="K10" i="2"/>
  <c r="K9" i="2"/>
  <c r="L10" i="2"/>
  <c r="J10" i="2"/>
  <c r="H10" i="2"/>
  <c r="G10" i="2"/>
  <c r="E10" i="2"/>
  <c r="J9" i="2"/>
  <c r="L9" i="2"/>
  <c r="H9" i="2"/>
  <c r="C18" i="2"/>
  <c r="G9" i="2"/>
  <c r="E9" i="2"/>
  <c r="J2" i="2"/>
  <c r="L2" i="2"/>
  <c r="H2" i="2"/>
  <c r="K2" i="2"/>
  <c r="J3" i="2"/>
  <c r="L3" i="2"/>
  <c r="H3" i="2"/>
  <c r="K3" i="2"/>
  <c r="J4" i="2"/>
  <c r="L4" i="2"/>
  <c r="H4" i="2"/>
  <c r="K4" i="2"/>
  <c r="J5" i="2"/>
  <c r="L5" i="2"/>
  <c r="H5" i="2"/>
  <c r="K5" i="2"/>
  <c r="E2" i="2"/>
  <c r="E3" i="2"/>
  <c r="E4" i="2"/>
  <c r="E5" i="2"/>
  <c r="E6" i="2"/>
  <c r="E7" i="2"/>
  <c r="E8" i="2"/>
  <c r="G2" i="2"/>
  <c r="E8" i="1"/>
  <c r="G6" i="2"/>
  <c r="J8" i="2"/>
  <c r="L8" i="2"/>
  <c r="H8" i="2"/>
  <c r="K8" i="2"/>
  <c r="G8" i="2"/>
  <c r="J7" i="2"/>
  <c r="L7" i="2"/>
  <c r="H7" i="2"/>
  <c r="K7" i="2"/>
  <c r="G7" i="2"/>
  <c r="J6" i="2"/>
  <c r="L6" i="2"/>
  <c r="H6" i="2"/>
  <c r="K6" i="2"/>
  <c r="G5" i="2"/>
  <c r="G4" i="2"/>
  <c r="G3" i="2"/>
  <c r="B23" i="1"/>
  <c r="C23" i="1"/>
  <c r="D23" i="1"/>
  <c r="B8" i="1"/>
  <c r="E9" i="1"/>
  <c r="B9" i="1"/>
  <c r="C9" i="1"/>
  <c r="D9" i="1"/>
  <c r="C8" i="1"/>
  <c r="D8" i="1"/>
  <c r="F12" i="4"/>
  <c r="F18" i="4"/>
  <c r="F12" i="10"/>
  <c r="F14" i="10"/>
  <c r="F17" i="10"/>
  <c r="F18" i="10"/>
  <c r="G2" i="10"/>
  <c r="E2" i="10"/>
</calcChain>
</file>

<file path=xl/sharedStrings.xml><?xml version="1.0" encoding="utf-8"?>
<sst xmlns="http://schemas.openxmlformats.org/spreadsheetml/2006/main" count="362" uniqueCount="58">
  <si>
    <t>MW (g/mol)</t>
  </si>
  <si>
    <t>pKa</t>
  </si>
  <si>
    <t>NaH2PO4 (HA)</t>
  </si>
  <si>
    <t>Na2HPO4 (A)</t>
  </si>
  <si>
    <t>-</t>
  </si>
  <si>
    <t>Substance</t>
  </si>
  <si>
    <t>Molarity</t>
  </si>
  <si>
    <t>Moles</t>
  </si>
  <si>
    <t>Weight (g)</t>
  </si>
  <si>
    <t>%</t>
  </si>
  <si>
    <t>Actual Weight (g)</t>
  </si>
  <si>
    <t>Total Volume (mL)</t>
  </si>
  <si>
    <t>Total Molarity (M)</t>
  </si>
  <si>
    <t>Final pH</t>
  </si>
  <si>
    <t>Sodium Pyruvate</t>
  </si>
  <si>
    <t>Pyruvate</t>
  </si>
  <si>
    <t>Molarity (M)</t>
  </si>
  <si>
    <t>Moles ( moles)</t>
  </si>
  <si>
    <t>Volume (mL)</t>
  </si>
  <si>
    <t>Cuvet Number</t>
  </si>
  <si>
    <t>NADH Stock Volume (μL)</t>
  </si>
  <si>
    <t>Pyruvate Stock Volume (μL)</t>
  </si>
  <si>
    <t>LDH Stock Volume (μL)</t>
  </si>
  <si>
    <t>Phosphate Buffer Volume (μL)</t>
  </si>
  <si>
    <t>Total Volume (μL)</t>
  </si>
  <si>
    <t>LDH Concentration [E]</t>
  </si>
  <si>
    <t>Pyruvate concentration [S]</t>
  </si>
  <si>
    <t>Slope</t>
  </si>
  <si>
    <t>Vo</t>
  </si>
  <si>
    <t>1/[S]</t>
  </si>
  <si>
    <t>1/Vo</t>
  </si>
  <si>
    <t>Pyruvate Stock Concentration (mol/L)</t>
  </si>
  <si>
    <t>Lineaweaver-Burke Slope</t>
  </si>
  <si>
    <t>Lineaweaver-Burke Intercept</t>
  </si>
  <si>
    <t>Km</t>
  </si>
  <si>
    <t>Vmax</t>
  </si>
  <si>
    <t>LDH Concentration (units/L))</t>
  </si>
  <si>
    <t>Actual Volume (mL)</t>
  </si>
  <si>
    <t xml:space="preserve"> </t>
  </si>
  <si>
    <t>NADH (mol/L)</t>
  </si>
  <si>
    <t>NADH (μ mols)</t>
  </si>
  <si>
    <t>Inhibitor Stock Volume (μL)</t>
  </si>
  <si>
    <t>NADH (M)</t>
  </si>
  <si>
    <t>Inhibitor Concentration (M)</t>
  </si>
  <si>
    <t>Inhibitor  Concentration [I]</t>
  </si>
  <si>
    <t>Sodium Oxamate</t>
  </si>
  <si>
    <t>Sodium Oxalate</t>
  </si>
  <si>
    <t>LDH - No I</t>
  </si>
  <si>
    <t>Sodium Phosphate Buffer - pH 7.4</t>
  </si>
  <si>
    <t>LDH - 0.5 I</t>
  </si>
  <si>
    <t>LDH - 0.3 I</t>
  </si>
  <si>
    <t>LDH - 0.1 I</t>
  </si>
  <si>
    <t>Vmax (M/sec)</t>
  </si>
  <si>
    <t>Km (M)</t>
  </si>
  <si>
    <t>Lineaweaver-Burke Y-Intercept</t>
  </si>
  <si>
    <t>Lineaweaver-Burke X-Intercept</t>
  </si>
  <si>
    <t>α</t>
  </si>
  <si>
    <t>α′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</si>
</sst>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1D35"/>
      <name val="Arial"/>
      <family val="2"/>
    </font>
    <font>
      <sz val="12"/>
      <color rgb="FF1F1F1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9" fontId="0" fillId="0" borderId="5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7" fontId="0" fillId="0" borderId="5" xfId="1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2" fontId="4" fillId="7" borderId="7" xfId="0" applyNumberFormat="1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11" fontId="4" fillId="7" borderId="9" xfId="0" applyNumberFormat="1" applyFont="1" applyFill="1" applyBorder="1" applyAlignment="1">
      <alignment horizontal="center"/>
    </xf>
    <xf numFmtId="1" fontId="5" fillId="0" borderId="0" xfId="0" applyNumberFormat="1" applyFont="1"/>
    <xf numFmtId="166" fontId="0" fillId="0" borderId="6" xfId="0" applyNumberFormat="1" applyBorder="1"/>
    <xf numFmtId="2" fontId="0" fillId="0" borderId="0" xfId="0" applyNumberFormat="1"/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166" fontId="4" fillId="7" borderId="7" xfId="0" applyNumberFormat="1" applyFont="1" applyFill="1" applyBorder="1" applyAlignment="1">
      <alignment horizontal="center"/>
    </xf>
    <xf numFmtId="166" fontId="5" fillId="0" borderId="9" xfId="0" applyNumberFormat="1" applyFont="1" applyBorder="1" applyAlignment="1">
      <alignment horizontal="center" vertical="center"/>
    </xf>
    <xf numFmtId="165" fontId="4" fillId="7" borderId="7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 wrapText="1"/>
    </xf>
    <xf numFmtId="166" fontId="0" fillId="0" borderId="0" xfId="0" applyNumberFormat="1"/>
    <xf numFmtId="0" fontId="0" fillId="0" borderId="1" xfId="0" applyBorder="1"/>
    <xf numFmtId="0" fontId="0" fillId="9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9" borderId="1" xfId="0" applyFill="1" applyBorder="1"/>
    <xf numFmtId="0" fontId="7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164" fontId="5" fillId="0" borderId="0" xfId="0" applyNumberFormat="1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LDH</a:t>
            </a:r>
            <a:r>
              <a:rPr lang="en-US" baseline="0"/>
              <a:t> Lineweaver Burke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5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707353748538959"/>
                  <c:y val="1.94843430345487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'Kinetics Assay'!$K$2:$K$9</c:f>
              <c:numCache>
                <c:formatCode>General</c:formatCode>
                <c:ptCount val="8"/>
                <c:pt idx="0">
                  <c:v>94.696969696969703</c:v>
                </c:pt>
                <c:pt idx="1">
                  <c:v>103.30578512396694</c:v>
                </c:pt>
                <c:pt idx="2">
                  <c:v>113.63636363636363</c:v>
                </c:pt>
                <c:pt idx="3">
                  <c:v>126.26262626262628</c:v>
                </c:pt>
                <c:pt idx="4">
                  <c:v>142.04545454545456</c:v>
                </c:pt>
                <c:pt idx="5">
                  <c:v>162.33766233766235</c:v>
                </c:pt>
                <c:pt idx="6">
                  <c:v>189.39393939393941</c:v>
                </c:pt>
                <c:pt idx="7">
                  <c:v>71.02272727272728</c:v>
                </c:pt>
              </c:numCache>
            </c:numRef>
          </c:xVal>
          <c:yVal>
            <c:numRef>
              <c:f>'Kinetics Assay'!$L$2:$L$9</c:f>
              <c:numCache>
                <c:formatCode>General</c:formatCode>
                <c:ptCount val="8"/>
                <c:pt idx="0">
                  <c:v>15.762925598991174</c:v>
                </c:pt>
                <c:pt idx="1">
                  <c:v>19.615535504119265</c:v>
                </c:pt>
                <c:pt idx="2">
                  <c:v>27.654867256637171</c:v>
                </c:pt>
                <c:pt idx="3">
                  <c:v>41.237113402061851</c:v>
                </c:pt>
                <c:pt idx="4">
                  <c:v>31.25</c:v>
                </c:pt>
                <c:pt idx="5">
                  <c:v>33.244680851063833</c:v>
                </c:pt>
                <c:pt idx="6">
                  <c:v>30.74085459575776</c:v>
                </c:pt>
                <c:pt idx="7">
                  <c:v>2.1168501270110078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84-4F0A-B295-C877E3258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31408"/>
        <c:axId val="1083232368"/>
      </c:scatterChart>
      <c:valAx>
        <c:axId val="10832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Reciproval Pyruvate</a:t>
                </a:r>
                <a:r>
                  <a:rPr lang="en-US" baseline="0"/>
                  <a:t> Concentartion (1/mol)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2368"/>
        <c:crosses val="autoZero"/>
        <c:crossBetween val="midCat"/>
      </c:valAx>
      <c:valAx>
        <c:axId val="10832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Recpirocal</a:t>
                </a:r>
                <a:r>
                  <a:rPr lang="en-US" baseline="0"/>
                  <a:t> Initial Velocity 1/(mol/sec)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Lineweaver Burke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"/>
            <c:backward val="100"/>
            <c:dispRSqr val="1"/>
            <c:dispEq val="1"/>
            <c:trendlineLbl>
              <c:layout>
                <c:manualLayout>
                  <c:x val="-9.0082670243605181E-2"/>
                  <c:y val="-0.529784199925264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'Kinetic Assay - new protein'!$K$2:$K$4</c:f>
              <c:numCache>
                <c:formatCode>General</c:formatCode>
                <c:ptCount val="3"/>
                <c:pt idx="0">
                  <c:v>94.696969696969703</c:v>
                </c:pt>
                <c:pt idx="1">
                  <c:v>113.63636363636363</c:v>
                </c:pt>
                <c:pt idx="2">
                  <c:v>142.04545454545456</c:v>
                </c:pt>
              </c:numCache>
            </c:numRef>
          </c:xVal>
          <c:yVal>
            <c:numRef>
              <c:f>'Kinetic Assay - new protein'!$L$2:$L$4</c:f>
              <c:numCache>
                <c:formatCode>General</c:formatCode>
                <c:ptCount val="3"/>
                <c:pt idx="0">
                  <c:v>30.395136778115504</c:v>
                </c:pt>
                <c:pt idx="1">
                  <c:v>26.490066225165563</c:v>
                </c:pt>
                <c:pt idx="2">
                  <c:v>20.28397565922921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F-4975-A50E-DF2504F4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934191"/>
        <c:axId val="74195644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'Kinetic Assay - new protein'!$K$2:$K$4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94.696969696969703</c:v>
                      </c:pt>
                      <c:pt idx="1">
                        <c:v>113.63636363636363</c:v>
                      </c:pt>
                      <c:pt idx="2">
                        <c:v>142.04545454545456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'Kinetic Assay - new protein'!$L$2:$L$4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30.395136778115504</c:v>
                      </c:pt>
                      <c:pt idx="1">
                        <c:v>26.490066225165563</c:v>
                      </c:pt>
                      <c:pt idx="2">
                        <c:v>20.28397565922921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30F-4975-A50E-DF2504F4DDEC}"/>
                  </c:ext>
                </c:extLst>
              </c15:ser>
            </c15:filteredScatterSeries>
          </c:ext>
        </c:extLst>
      </c:scatterChart>
      <c:valAx>
        <c:axId val="72993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Reciproval Pyruvate Concentartion (1/mol)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56447"/>
        <c:crosses val="autoZero"/>
        <c:crossBetween val="midCat"/>
      </c:valAx>
      <c:valAx>
        <c:axId val="74195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Recpirocal Initial Velocity 1/(mol/sec)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934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LDH</a:t>
            </a:r>
            <a:r>
              <a:rPr lang="en-US" baseline="0"/>
              <a:t> Lineweaver Burke Plot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backward val="300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7.8926879184926482E-2"/>
                  <c:y val="-3.3731736759908509E-2"/>
                </c:manualLayout>
              </c:layout>
              <c:numFmt formatCode="General" sourceLinked="0"/>
            </c:trendlineLbl>
          </c:trendline>
          <c:xVal>
            <c:numRef>
              <c:f>'Kinetics Assay Week 2'!$K$2:$K$5</c:f>
              <c:numCache>
                <c:formatCode>General</c:formatCode>
                <c:ptCount val="4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'Kinetics Assay Week 2'!$L$2:$L$5</c:f>
              <c:numCache>
                <c:formatCode>General</c:formatCode>
                <c:ptCount val="4"/>
                <c:pt idx="0">
                  <c:v>17.743080198722499</c:v>
                </c:pt>
                <c:pt idx="1">
                  <c:v>22.999080036798528</c:v>
                </c:pt>
                <c:pt idx="2">
                  <c:v>31.446540880503143</c:v>
                </c:pt>
                <c:pt idx="3">
                  <c:v>98.619329388560161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31-0A48-8FFA-DFA7B728F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31408"/>
        <c:axId val="1083232368"/>
      </c:scatterChart>
      <c:valAx>
        <c:axId val="10832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Reciprocal Pyruvate</a:t>
                </a:r>
                <a:r>
                  <a:rPr lang="en-US" baseline="0"/>
                  <a:t> Concentartion (1/mol)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2368"/>
        <c:crosses val="autoZero"/>
        <c:crossBetween val="midCat"/>
      </c:valAx>
      <c:valAx>
        <c:axId val="10832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Recpirocal</a:t>
                </a:r>
                <a:r>
                  <a:rPr lang="en-US" baseline="0"/>
                  <a:t> Initial Velocity 1/(mol/sec)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14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Michaelis Menten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'Kinetics Assay Week 2'!$J$1</c:f>
              <c:strCache>
                <c:ptCount val="1"/>
                <c:pt idx="0">
                  <c:v>Vo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0.1"/>
            <c:dispRSqr val="0"/>
            <c:dispEq val="0"/>
          </c:trendline>
          <c:xVal>
            <c:numRef>
              <c:f>'Kinetics Assay Week 2'!$H$2:$H$5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'Kinetics Assay Week 2'!$J$2:$J$5</c:f>
              <c:numCache>
                <c:formatCode>General</c:formatCode>
                <c:ptCount val="4"/>
                <c:pt idx="0">
                  <c:v>5.636E-2</c:v>
                </c:pt>
                <c:pt idx="1">
                  <c:v>4.3479999999999998E-2</c:v>
                </c:pt>
                <c:pt idx="2">
                  <c:v>3.1800000000000002E-2</c:v>
                </c:pt>
                <c:pt idx="3">
                  <c:v>1.014E-2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A1-5E40-A0F0-7792D006E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54751"/>
        <c:axId val="2046860735"/>
      </c:scatterChart>
      <c:valAx>
        <c:axId val="13267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Pyruvate Concentartion (mol/L)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60735"/>
        <c:crosses val="autoZero"/>
        <c:crossBetween val="midCat"/>
      </c:valAx>
      <c:valAx>
        <c:axId val="20468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Initial Velocity 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LDH</a:t>
            </a:r>
            <a:r>
              <a:rPr lang="en-US" baseline="0"/>
              <a:t> Lineweaver Burke Plot</a:t>
            </a:r>
          </a:p>
          <a:p>
            <a:pPr>
              <a:defRPr/>
            </a:pPr>
            <a:r>
              <a:rPr lang="en-US" baseline="0"/>
              <a:t> Oxalate Inhibitor C1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300"/>
            <c:dispRSqr val="0"/>
            <c:dispEq val="0"/>
          </c:trendline>
          <c:xVal>
            <c:numRef>
              <c:f>'Kinetics Week 2_Inhib1_c1'!$M$2:$M$9</c:f>
              <c:numCache>
                <c:formatCode>General</c:formatCode>
                <c:ptCount val="8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'Kinetics Week 2_Inhib1_c1'!$N$2:$N$9</c:f>
              <c:numCache>
                <c:formatCode>General</c:formatCode>
                <c:ptCount val="8"/>
                <c:pt idx="0">
                  <c:v>46.468401486988846</c:v>
                </c:pt>
                <c:pt idx="1">
                  <c:v>120.12012012012011</c:v>
                </c:pt>
                <c:pt idx="2">
                  <c:v>226.75736961451247</c:v>
                </c:pt>
                <c:pt idx="3">
                  <c:v>449.64028776978421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C5-0D46-BAAA-F7378CA2F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31408"/>
        <c:axId val="1083232368"/>
      </c:scatterChart>
      <c:valAx>
        <c:axId val="10832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Reciproval Pyruvate</a:t>
                </a:r>
                <a:r>
                  <a:rPr lang="en-US" baseline="0"/>
                  <a:t> Concentartion (1/mol)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2368"/>
        <c:crosses val="autoZero"/>
        <c:crossBetween val="midCat"/>
      </c:valAx>
      <c:valAx>
        <c:axId val="10832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Recpirocal</a:t>
                </a:r>
                <a:r>
                  <a:rPr lang="en-US" baseline="0"/>
                  <a:t> Initial Velocity 1/(mol/sec)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Michaelis Menten Plot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Oxalate Inhibitor Concentration of 0.00352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'Kinetics Assay Week 2'!$J$1</c:f>
              <c:strCache>
                <c:ptCount val="1"/>
                <c:pt idx="0">
                  <c:v>Vo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0.1"/>
            <c:dispRSqr val="0"/>
            <c:dispEq val="0"/>
          </c:trendline>
          <c:xVal>
            <c:numRef>
              <c:f>'Kinetics Week 2_Inhib1_c1'!$J$2:$J$5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'Kinetics Week 2_Inhib1_c1'!$L$2:$L$5</c:f>
              <c:numCache>
                <c:formatCode>General</c:formatCode>
                <c:ptCount val="4"/>
                <c:pt idx="0">
                  <c:v>2.1520000000000001E-2</c:v>
                </c:pt>
                <c:pt idx="1">
                  <c:v>8.3250000000000008E-3</c:v>
                </c:pt>
                <c:pt idx="2">
                  <c:v>4.4099999999999999E-3</c:v>
                </c:pt>
                <c:pt idx="3">
                  <c:v>2.2239999999999998E-3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14-9840-860C-CE4F0DD8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54751"/>
        <c:axId val="2046860735"/>
      </c:scatterChart>
      <c:valAx>
        <c:axId val="13267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Pyruvate Concentartion (mol/L)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60735"/>
        <c:crosses val="autoZero"/>
        <c:crossBetween val="midCat"/>
      </c:valAx>
      <c:valAx>
        <c:axId val="20468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Initial Velocity 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Lineweaver Burke Plot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Oxalate Inhibitor 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5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000"/>
            <c:dispRSqr val="1"/>
            <c:dispEq val="1"/>
            <c:trendlineLbl>
              <c:layout>
                <c:manualLayout>
                  <c:x val="3.3123651815111586E-2"/>
                  <c:y val="-0.72497961847979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'Kinetics Week 2_Inhib1_c2'!$M$2:$M$9</c:f>
              <c:numCache>
                <c:formatCode>General</c:formatCode>
                <c:ptCount val="8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'Kinetics Week 2_Inhib1_c2'!$N$2:$N$9</c:f>
              <c:numCache>
                <c:formatCode>General</c:formatCode>
                <c:ptCount val="8"/>
                <c:pt idx="0">
                  <c:v>77.942322681215899</c:v>
                </c:pt>
                <c:pt idx="1">
                  <c:v>88.652482269503551</c:v>
                </c:pt>
                <c:pt idx="2">
                  <c:v>146.64906877841324</c:v>
                </c:pt>
                <c:pt idx="3">
                  <c:v>163.23865491348351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D4-6247-B519-79B97BF0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31408"/>
        <c:axId val="1083232368"/>
      </c:scatterChart>
      <c:valAx>
        <c:axId val="10832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Reciprocal Pyruvate</a:t>
                </a:r>
                <a:r>
                  <a:rPr lang="en-US" baseline="0"/>
                  <a:t> Concentartion (1/mol)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2368"/>
        <c:crosses val="autoZero"/>
        <c:crossBetween val="midCat"/>
      </c:valAx>
      <c:valAx>
        <c:axId val="10832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Recpirocal</a:t>
                </a:r>
                <a:r>
                  <a:rPr lang="en-US" baseline="0"/>
                  <a:t> Initial Velocity 1/(mol/sec)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Michaelis Menten Plot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Oxalate Inhibitor Concentration of 0.002112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0.1"/>
            <c:dispRSqr val="0"/>
            <c:dispEq val="0"/>
          </c:trendline>
          <c:xVal>
            <c:numRef>
              <c:f>'Kinetics Week 2_Inhib1_c2'!$J$2:$J$5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'Kinetics Week 2_Inhib1_c2'!$L$2:$L$5</c:f>
              <c:numCache>
                <c:formatCode>General</c:formatCode>
                <c:ptCount val="4"/>
                <c:pt idx="0">
                  <c:v>1.2829999999999999E-2</c:v>
                </c:pt>
                <c:pt idx="1">
                  <c:v>1.128E-2</c:v>
                </c:pt>
                <c:pt idx="2">
                  <c:v>6.8190000000000004E-3</c:v>
                </c:pt>
                <c:pt idx="3">
                  <c:v>6.1260000000000004E-3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A5-A545-96D6-F56715BB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54751"/>
        <c:axId val="2046860735"/>
      </c:scatterChart>
      <c:valAx>
        <c:axId val="13267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Pyruvate Concentartion (mol/L)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60735"/>
        <c:crosses val="autoZero"/>
        <c:crossBetween val="midCat"/>
      </c:valAx>
      <c:valAx>
        <c:axId val="20468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Initial Velocity 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Lineweaver Burke Plot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Oxalate Inhibitor C3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5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000"/>
            <c:dispRSqr val="1"/>
            <c:dispEq val="1"/>
            <c:trendlineLbl>
              <c:layout>
                <c:manualLayout>
                  <c:x val="3.3123651815111586E-2"/>
                  <c:y val="-0.72497961847979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'Kinetics Week 2_Inhib1_c3'!$M$2:$M$9</c:f>
              <c:numCache>
                <c:formatCode>General</c:formatCode>
                <c:ptCount val="8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'Kinetics Week 2_Inhib1_c3'!$N$2:$N$9</c:f>
              <c:numCache>
                <c:formatCode>General</c:formatCode>
                <c:ptCount val="8"/>
                <c:pt idx="0">
                  <c:v>29.744199881023203</c:v>
                </c:pt>
                <c:pt idx="1">
                  <c:v>36.127167630057805</c:v>
                </c:pt>
                <c:pt idx="2">
                  <c:v>71.581961345740879</c:v>
                </c:pt>
                <c:pt idx="3">
                  <c:v>103.97171969224371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4D-DC4E-B877-8E3E3E20B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31408"/>
        <c:axId val="1083232368"/>
      </c:scatterChart>
      <c:valAx>
        <c:axId val="10832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Reciprocal Pyruvate</a:t>
                </a:r>
                <a:r>
                  <a:rPr lang="en-US" baseline="0"/>
                  <a:t> Concentartion (1/mol)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2368"/>
        <c:crosses val="autoZero"/>
        <c:crossBetween val="midCat"/>
      </c:valAx>
      <c:valAx>
        <c:axId val="10832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Recpirocal</a:t>
                </a:r>
                <a:r>
                  <a:rPr lang="en-US" baseline="0"/>
                  <a:t> Initial Velocity 1/(mol/sec)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Michaelis Menten Plot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Oxalate Inhibitor Concentration of 0.000704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0.1"/>
            <c:dispRSqr val="0"/>
            <c:dispEq val="0"/>
          </c:trendline>
          <c:xVal>
            <c:numRef>
              <c:f>'Kinetics Week 2_Inhib1_c3'!$J$2:$J$5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'Kinetics Week 2_Inhib1_c3'!$L$2:$L$5</c:f>
              <c:numCache>
                <c:formatCode>General</c:formatCode>
                <c:ptCount val="4"/>
                <c:pt idx="0">
                  <c:v>3.3619999999999997E-2</c:v>
                </c:pt>
                <c:pt idx="1">
                  <c:v>2.768E-2</c:v>
                </c:pt>
                <c:pt idx="2">
                  <c:v>1.397E-2</c:v>
                </c:pt>
                <c:pt idx="3">
                  <c:v>9.6179999999999998E-3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8-E742-826B-03A33AF38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54751"/>
        <c:axId val="2046860735"/>
      </c:scatterChart>
      <c:valAx>
        <c:axId val="13267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Pyruvate Concentartion (mol/L)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60735"/>
        <c:crosses val="autoZero"/>
        <c:crossBetween val="midCat"/>
      </c:valAx>
      <c:valAx>
        <c:axId val="20468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Initial Velocity 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LDH Lineweaver Burke Plot With Oxalate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314104010742902E-2"/>
          <c:y val="0.11351555241158487"/>
          <c:w val="0.72490617356857079"/>
          <c:h val="0.77094257954597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'Inhib1_c3 together'!$A$1:$B$1</c:f>
              <c:strCache>
                <c:ptCount val="1"/>
                <c:pt idx="0">
                  <c:v>LDH - No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000"/>
            <c:dispRSqr val="0"/>
            <c:dispEq val="0"/>
          </c:trendline>
          <c:xVal>
            <c:numRef>
              <c:f>'Inhib1_c3 together'!$A$3:$A$6</c:f>
              <c:numCache>
                <c:formatCode>General</c:formatCode>
                <c:ptCount val="4"/>
                <c:pt idx="0">
                  <c:v>142.045455</c:v>
                </c:pt>
                <c:pt idx="1">
                  <c:v>568.18181800000002</c:v>
                </c:pt>
                <c:pt idx="2">
                  <c:v>1136.36364</c:v>
                </c:pt>
                <c:pt idx="3">
                  <c:v>2272.7272699999999</c:v>
                </c:pt>
              </c:numCache>
            </c:numRef>
          </c:xVal>
          <c:yVal>
            <c:numRef>
              <c:f>'Inhib1_c3 together'!$B$3:$B$6</c:f>
              <c:numCache>
                <c:formatCode>General</c:formatCode>
                <c:ptCount val="4"/>
                <c:pt idx="0">
                  <c:v>17.743080200000001</c:v>
                </c:pt>
                <c:pt idx="1">
                  <c:v>22.999079999999999</c:v>
                </c:pt>
                <c:pt idx="2">
                  <c:v>31.446540899999999</c:v>
                </c:pt>
                <c:pt idx="3">
                  <c:v>98.619329399999998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33-854F-8621-90837A8C346B}"/>
            </c:ext>
          </c:extLst>
        </c:ser>
        <c:ser>
          <c:idx val="2"/>
          <c:order val="1"/>
          <c:tx>
            <c:strRef>
              <c:f>'Inhib1_c3 together'!$D$1:$E$1</c:f>
              <c:strCache>
                <c:ptCount val="1"/>
                <c:pt idx="0">
                  <c:v>LDH - 0.5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backward val="2000"/>
            <c:dispRSqr val="0"/>
            <c:dispEq val="0"/>
          </c:trendline>
          <c:xVal>
            <c:numRef>
              <c:f>'Inhib1_c3 together'!$D$3:$D$6</c:f>
              <c:numCache>
                <c:formatCode>General</c:formatCode>
                <c:ptCount val="4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'Inhib1_c3 together'!$E$3:$E$6</c:f>
              <c:numCache>
                <c:formatCode>General</c:formatCode>
                <c:ptCount val="4"/>
                <c:pt idx="0">
                  <c:v>46.468401486988846</c:v>
                </c:pt>
                <c:pt idx="1">
                  <c:v>120.12012012012011</c:v>
                </c:pt>
                <c:pt idx="2">
                  <c:v>226.75736961451247</c:v>
                </c:pt>
                <c:pt idx="3">
                  <c:v>449.64028776978421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33-854F-8621-90837A8C346B}"/>
            </c:ext>
          </c:extLst>
        </c:ser>
        <c:ser>
          <c:idx val="5"/>
          <c:order val="2"/>
          <c:tx>
            <c:strRef>
              <c:f>'Inhib1_c3 together'!$G$1:$H$1</c:f>
              <c:strCache>
                <c:ptCount val="1"/>
                <c:pt idx="0">
                  <c:v>LDH - 0.3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backward val="2000"/>
            <c:dispRSqr val="0"/>
            <c:dispEq val="0"/>
          </c:trendline>
          <c:xVal>
            <c:numRef>
              <c:f>'Inhib1_c3 together'!$G$3:$G$6</c:f>
              <c:numCache>
                <c:formatCode>General</c:formatCode>
                <c:ptCount val="4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'Inhib1_c3 together'!$H$3:$H$6</c:f>
              <c:numCache>
                <c:formatCode>General</c:formatCode>
                <c:ptCount val="4"/>
                <c:pt idx="0">
                  <c:v>77.942322681215899</c:v>
                </c:pt>
                <c:pt idx="1">
                  <c:v>88.652482269503551</c:v>
                </c:pt>
                <c:pt idx="2">
                  <c:v>146.64906877841324</c:v>
                </c:pt>
                <c:pt idx="3">
                  <c:v>163.23865491348351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533-854F-8621-90837A8C346B}"/>
            </c:ext>
          </c:extLst>
        </c:ser>
        <c:ser>
          <c:idx val="8"/>
          <c:order val="3"/>
          <c:tx>
            <c:strRef>
              <c:f>'Inhib1_c3 together'!$J$1:$K$1</c:f>
              <c:strCache>
                <c:ptCount val="1"/>
                <c:pt idx="0">
                  <c:v>LDH - 0.1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backward val="2000"/>
            <c:dispRSqr val="0"/>
            <c:dispEq val="0"/>
          </c:trendline>
          <c:xVal>
            <c:numRef>
              <c:f>'Inhib1_c3 together'!$J$3:$J$6</c:f>
              <c:numCache>
                <c:formatCode>General</c:formatCode>
                <c:ptCount val="4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'Inhib1_c3 together'!$K$3:$K$6</c:f>
              <c:numCache>
                <c:formatCode>General</c:formatCode>
                <c:ptCount val="4"/>
                <c:pt idx="0">
                  <c:v>29.744199881023203</c:v>
                </c:pt>
                <c:pt idx="1">
                  <c:v>36.127167630057805</c:v>
                </c:pt>
                <c:pt idx="2">
                  <c:v>71.581961345740879</c:v>
                </c:pt>
                <c:pt idx="3">
                  <c:v>103.97171969224371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533-854F-8621-90837A8C3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19424"/>
        <c:axId val="1327262655"/>
      </c:scatterChart>
      <c:valAx>
        <c:axId val="7231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Reciprocal Pyruvate Concentartion (1/mol)</a:t>
                </a:r>
              </a:p>
            </c:rich>
          </c:tx>
          <c:layout>
            <c:manualLayout>
              <c:xMode val="edge"/>
              <c:yMode val="edge"/>
              <c:x val="0.25413389801455372"/>
              <c:y val="0.91226550628539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262655"/>
        <c:crosses val="autoZero"/>
        <c:crossBetween val="midCat"/>
      </c:valAx>
      <c:valAx>
        <c:axId val="132726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Recpirocal Initial Velocity 1/(mol/sec)</a:t>
                </a:r>
              </a:p>
            </c:rich>
          </c:tx>
          <c:layout>
            <c:manualLayout>
              <c:xMode val="edge"/>
              <c:yMode val="edge"/>
              <c:x val="4.3150085457701855E-3"/>
              <c:y val="0.18861375880646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104159995084836"/>
          <c:y val="0.14657866226725008"/>
          <c:w val="0.17133450863675631"/>
          <c:h val="0.70703042996745025"/>
        </c:manualLayout>
      </c:layout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Michaelis Menten Plot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Varying Oxalate Inhibitor Concentration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13372851377098E-2"/>
          <c:y val="0.14193942451965849"/>
          <c:w val="0.81546346060601937"/>
          <c:h val="0.726492755478736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'Inhib1_c3 together'!$A$36:$B$36</c:f>
              <c:strCache>
                <c:ptCount val="1"/>
                <c:pt idx="0">
                  <c:v>LDH - No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0.02"/>
            <c:dispRSqr val="0"/>
            <c:dispEq val="0"/>
          </c:trendline>
          <c:xVal>
            <c:numRef>
              <c:f>'Inhib1_c3 together'!$A$38:$A$41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'Inhib1_c3 together'!$B$38:$B$41</c:f>
              <c:numCache>
                <c:formatCode>General</c:formatCode>
                <c:ptCount val="4"/>
                <c:pt idx="0">
                  <c:v>5.636E-2</c:v>
                </c:pt>
                <c:pt idx="1">
                  <c:v>4.3479999999999998E-2</c:v>
                </c:pt>
                <c:pt idx="2">
                  <c:v>3.1800000000000002E-2</c:v>
                </c:pt>
                <c:pt idx="3">
                  <c:v>1.014E-2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5-DE4F-AF72-13C6B3051F42}"/>
            </c:ext>
          </c:extLst>
        </c:ser>
        <c:ser>
          <c:idx val="1"/>
          <c:order val="1"/>
          <c:tx>
            <c:strRef>
              <c:f>'Inhib1_c3 together'!$D$36:$E$36</c:f>
              <c:strCache>
                <c:ptCount val="1"/>
                <c:pt idx="0">
                  <c:v>LDH - 0.5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0.02"/>
            <c:dispRSqr val="0"/>
            <c:dispEq val="0"/>
          </c:trendline>
          <c:xVal>
            <c:numRef>
              <c:f>'Inhib1_c3 together'!$D$38:$D$41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'Inhib1_c3 together'!$E$38:$E$41</c:f>
              <c:numCache>
                <c:formatCode>General</c:formatCode>
                <c:ptCount val="4"/>
                <c:pt idx="0">
                  <c:v>2.1520000000000001E-2</c:v>
                </c:pt>
                <c:pt idx="1">
                  <c:v>8.3250000000000008E-3</c:v>
                </c:pt>
                <c:pt idx="2">
                  <c:v>4.4099999999999999E-3</c:v>
                </c:pt>
                <c:pt idx="3">
                  <c:v>2.2239999999999998E-3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A5-DE4F-AF72-13C6B3051F42}"/>
            </c:ext>
          </c:extLst>
        </c:ser>
        <c:ser>
          <c:idx val="2"/>
          <c:order val="2"/>
          <c:tx>
            <c:strRef>
              <c:f>'Inhib1_c3 together'!$G$36:$H$36</c:f>
              <c:strCache>
                <c:ptCount val="1"/>
                <c:pt idx="0">
                  <c:v>LDH - 0.3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forward val="0.02"/>
            <c:dispRSqr val="0"/>
            <c:dispEq val="0"/>
          </c:trendline>
          <c:xVal>
            <c:numRef>
              <c:f>'Inhib1_c3 together'!$G$38:$G$41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'Inhib1_c3 together'!$H$38:$H$41</c:f>
              <c:numCache>
                <c:formatCode>General</c:formatCode>
                <c:ptCount val="4"/>
                <c:pt idx="0">
                  <c:v>1.2829999999999999E-2</c:v>
                </c:pt>
                <c:pt idx="1">
                  <c:v>1.128E-2</c:v>
                </c:pt>
                <c:pt idx="2">
                  <c:v>6.8190000000000004E-3</c:v>
                </c:pt>
                <c:pt idx="3">
                  <c:v>6.1260000000000004E-3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A5-DE4F-AF72-13C6B3051F42}"/>
            </c:ext>
          </c:extLst>
        </c:ser>
        <c:ser>
          <c:idx val="3"/>
          <c:order val="3"/>
          <c:tx>
            <c:strRef>
              <c:f>'Inhib1_c3 together'!$J$36:$K$36</c:f>
              <c:strCache>
                <c:ptCount val="1"/>
                <c:pt idx="0">
                  <c:v>LDH - 0.1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forward val="0.02"/>
            <c:dispRSqr val="0"/>
            <c:dispEq val="0"/>
          </c:trendline>
          <c:xVal>
            <c:numRef>
              <c:f>'Inhib1_c3 together'!$J$38:$J$41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'Inhib1_c3 together'!$K$38:$K$41</c:f>
              <c:numCache>
                <c:formatCode>General</c:formatCode>
                <c:ptCount val="4"/>
                <c:pt idx="0">
                  <c:v>3.3619999999999997E-2</c:v>
                </c:pt>
                <c:pt idx="1">
                  <c:v>2.768E-2</c:v>
                </c:pt>
                <c:pt idx="2">
                  <c:v>1.397E-2</c:v>
                </c:pt>
                <c:pt idx="3">
                  <c:v>9.6179999999999998E-3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A5-DE4F-AF72-13C6B3051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559167"/>
        <c:axId val="1325454143"/>
      </c:scatterChart>
      <c:valAx>
        <c:axId val="133455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Pyruvate Concentartion (mol/L)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54143"/>
        <c:crosses val="autoZero"/>
        <c:crossBetween val="midCat"/>
      </c:valAx>
      <c:valAx>
        <c:axId val="132545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Initial Velocity 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59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87827031161448"/>
          <c:y val="0.17451249149411879"/>
          <c:w val="0.10297949204744897"/>
          <c:h val="0.746916496549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LDH</a:t>
            </a:r>
            <a:r>
              <a:rPr lang="en-US" baseline="0"/>
              <a:t> Lineweaver Burke Plot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backward val="300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7.8926879184926482E-2"/>
                  <c:y val="-3.3731736759908509E-2"/>
                </c:manualLayout>
              </c:layout>
              <c:numFmt formatCode="General" sourceLinked="0"/>
            </c:trendlineLbl>
          </c:trendline>
          <c:xVal>
            <c:numRef>
              <c:f>'Kinetics Assay Week 3'!$K$2:$K$5</c:f>
              <c:numCache>
                <c:formatCode>General</c:formatCode>
                <c:ptCount val="4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'Kinetics Assay Week 3'!$L$2:$L$5</c:f>
              <c:numCache>
                <c:formatCode>General</c:formatCode>
                <c:ptCount val="4"/>
                <c:pt idx="0">
                  <c:v>28.661507595299515</c:v>
                </c:pt>
                <c:pt idx="1">
                  <c:v>30.750307503075032</c:v>
                </c:pt>
                <c:pt idx="2">
                  <c:v>51.519835136527561</c:v>
                </c:pt>
                <c:pt idx="3">
                  <c:v>97.181729834791057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9B-4249-89E2-22CC1E2FD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31408"/>
        <c:axId val="1083232368"/>
      </c:scatterChart>
      <c:valAx>
        <c:axId val="10832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Reciprocal Pyruvate</a:t>
                </a:r>
                <a:r>
                  <a:rPr lang="en-US" baseline="0"/>
                  <a:t> Concentartion (1/mol)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2368"/>
        <c:crosses val="autoZero"/>
        <c:crossBetween val="midCat"/>
      </c:valAx>
      <c:valAx>
        <c:axId val="10832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Recpirocal</a:t>
                </a:r>
                <a:r>
                  <a:rPr lang="en-US" baseline="0"/>
                  <a:t> Initial Velocity 1/(mol/sec)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14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Michaelis Menten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'Kinetics Assay Week 3'!$J$1</c:f>
              <c:strCache>
                <c:ptCount val="1"/>
                <c:pt idx="0">
                  <c:v>Vo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0.1"/>
            <c:dispRSqr val="0"/>
            <c:dispEq val="0"/>
          </c:trendline>
          <c:xVal>
            <c:numRef>
              <c:f>'Kinetics Assay Week 3'!$H$2:$H$5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'Kinetics Assay Week 3'!$J$2:$J$5</c:f>
              <c:numCache>
                <c:formatCode>General</c:formatCode>
                <c:ptCount val="4"/>
                <c:pt idx="0">
                  <c:v>3.4889999999999997E-2</c:v>
                </c:pt>
                <c:pt idx="1">
                  <c:v>3.252E-2</c:v>
                </c:pt>
                <c:pt idx="2">
                  <c:v>1.941E-2</c:v>
                </c:pt>
                <c:pt idx="3">
                  <c:v>1.0290000000000001E-2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FA-4625-8271-A7EFDDEDE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54751"/>
        <c:axId val="2046860735"/>
      </c:scatterChart>
      <c:valAx>
        <c:axId val="13267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Pyruvate Concentartion (mol/L)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60735"/>
        <c:crosses val="autoZero"/>
        <c:crossBetween val="midCat"/>
      </c:valAx>
      <c:valAx>
        <c:axId val="20468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Initial Velocity 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LDH</a:t>
            </a:r>
            <a:r>
              <a:rPr lang="en-US" baseline="0"/>
              <a:t> Lineweaver Burke Plot</a:t>
            </a:r>
          </a:p>
          <a:p>
            <a:pPr>
              <a:defRPr/>
            </a:pPr>
            <a:r>
              <a:rPr lang="en-US" baseline="0"/>
              <a:t> Oxamate Inhibitor C1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300"/>
            <c:dispRSqr val="0"/>
            <c:dispEq val="0"/>
          </c:trendline>
          <c:xVal>
            <c:numRef>
              <c:f>'Kinetics Week 3_Inhib2_c1 '!$M$2:$M$9</c:f>
              <c:numCache>
                <c:formatCode>General</c:formatCode>
                <c:ptCount val="8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'Kinetics Week 3_Inhib2_c1 '!$N$2:$N$9</c:f>
              <c:numCache>
                <c:formatCode>General</c:formatCode>
                <c:ptCount val="8"/>
                <c:pt idx="0">
                  <c:v>257.86487880350694</c:v>
                </c:pt>
                <c:pt idx="1">
                  <c:v>326.05151613955007</c:v>
                </c:pt>
                <c:pt idx="2">
                  <c:v>565.93095642331639</c:v>
                </c:pt>
                <c:pt idx="3">
                  <c:v>809.06148867313925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CA-49B0-A548-E1F76F07A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31408"/>
        <c:axId val="1083232368"/>
      </c:scatterChart>
      <c:valAx>
        <c:axId val="10832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Reciproval Pyruvate</a:t>
                </a:r>
                <a:r>
                  <a:rPr lang="en-US" baseline="0"/>
                  <a:t> Concentartion (1/mol)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2368"/>
        <c:crosses val="autoZero"/>
        <c:crossBetween val="midCat"/>
      </c:valAx>
      <c:valAx>
        <c:axId val="10832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Recpirocal</a:t>
                </a:r>
                <a:r>
                  <a:rPr lang="en-US" baseline="0"/>
                  <a:t> Initial Velocity 1/(mol/sec)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Michaelis Menten Plot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Oxamate Inhibitor Concentration of 0.00352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'Kinetics Assay Week 2'!$J$1</c:f>
              <c:strCache>
                <c:ptCount val="1"/>
                <c:pt idx="0">
                  <c:v>Vo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0.1"/>
            <c:dispRSqr val="0"/>
            <c:dispEq val="0"/>
          </c:trendline>
          <c:xVal>
            <c:numRef>
              <c:f>'Kinetics Week 3_Inhib2_c1 '!$J$2:$J$5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'Kinetics Week 3_Inhib2_c1 '!$L$2:$L$5</c:f>
              <c:numCache>
                <c:formatCode>General</c:formatCode>
                <c:ptCount val="4"/>
                <c:pt idx="0">
                  <c:v>3.8779999999999999E-3</c:v>
                </c:pt>
                <c:pt idx="1">
                  <c:v>3.0669999999999998E-3</c:v>
                </c:pt>
                <c:pt idx="2">
                  <c:v>1.7669999999999999E-3</c:v>
                </c:pt>
                <c:pt idx="3">
                  <c:v>1.2359999999999999E-3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1C-49E2-BC3E-96144110E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54751"/>
        <c:axId val="2046860735"/>
      </c:scatterChart>
      <c:valAx>
        <c:axId val="13267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Pyruvate Concentartion (mol/L)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60735"/>
        <c:crosses val="autoZero"/>
        <c:crossBetween val="midCat"/>
      </c:valAx>
      <c:valAx>
        <c:axId val="20468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Initial Velocity 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Lineweaver Burke Plot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Oxamate Inhibitor 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5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000"/>
            <c:dispRSqr val="1"/>
            <c:dispEq val="1"/>
            <c:trendlineLbl>
              <c:layout>
                <c:manualLayout>
                  <c:x val="3.3123651815111586E-2"/>
                  <c:y val="-0.72497961847979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'Kinetics Week 3_Inhib2_c2'!$M$2:$M$9</c:f>
              <c:numCache>
                <c:formatCode>General</c:formatCode>
                <c:ptCount val="8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'Kinetics Week 3_Inhib2_c2'!$N$2:$N$9</c:f>
              <c:numCache>
                <c:formatCode>General</c:formatCode>
                <c:ptCount val="8"/>
                <c:pt idx="0">
                  <c:v>46.232085067036522</c:v>
                </c:pt>
                <c:pt idx="1">
                  <c:v>110.57054400707652</c:v>
                </c:pt>
                <c:pt idx="2">
                  <c:v>559.91041433370663</c:v>
                </c:pt>
                <c:pt idx="3">
                  <c:v>645.16129032258061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A6-4F56-9BA5-C3001FA6B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31408"/>
        <c:axId val="1083232368"/>
      </c:scatterChart>
      <c:valAx>
        <c:axId val="10832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Reciprocal Pyruvate</a:t>
                </a:r>
                <a:r>
                  <a:rPr lang="en-US" baseline="0"/>
                  <a:t> Concentartion (1/mol)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2368"/>
        <c:crosses val="autoZero"/>
        <c:crossBetween val="midCat"/>
      </c:valAx>
      <c:valAx>
        <c:axId val="10832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Recpirocal</a:t>
                </a:r>
                <a:r>
                  <a:rPr lang="en-US" baseline="0"/>
                  <a:t> Initial Velocity 1/(mol/sec)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Michaelis Menten Plot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Oxamate Inhibitor Concentration of 0.002112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0.1"/>
            <c:dispRSqr val="0"/>
            <c:dispEq val="0"/>
          </c:trendline>
          <c:xVal>
            <c:numRef>
              <c:f>'Kinetics Week 3_Inhib2_c2'!$J$2:$J$5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'Kinetics Week 3_Inhib2_c2'!$L$2:$L$5</c:f>
              <c:numCache>
                <c:formatCode>General</c:formatCode>
                <c:ptCount val="4"/>
                <c:pt idx="0">
                  <c:v>2.163E-2</c:v>
                </c:pt>
                <c:pt idx="1">
                  <c:v>9.044E-3</c:v>
                </c:pt>
                <c:pt idx="2">
                  <c:v>1.786E-3</c:v>
                </c:pt>
                <c:pt idx="3">
                  <c:v>1.5499999999999999E-3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BF-42F8-BBC2-1CA253E7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54751"/>
        <c:axId val="2046860735"/>
      </c:scatterChart>
      <c:valAx>
        <c:axId val="13267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Pyruvate Concentartion (mol/L)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60735"/>
        <c:crosses val="autoZero"/>
        <c:crossBetween val="midCat"/>
      </c:valAx>
      <c:valAx>
        <c:axId val="20468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Initial Velocity 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Lineweaver Burke Plot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Oxamate Inhibitor C3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5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000"/>
            <c:dispRSqr val="1"/>
            <c:dispEq val="1"/>
            <c:trendlineLbl>
              <c:layout>
                <c:manualLayout>
                  <c:x val="3.3123651815111586E-2"/>
                  <c:y val="-0.72497961847979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'Kinetics Week 3_Inhib2_c3'!$M$2:$M$9</c:f>
              <c:numCache>
                <c:formatCode>General</c:formatCode>
                <c:ptCount val="8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'Kinetics Week 3_Inhib2_c3'!$N$2:$N$9</c:f>
              <c:numCache>
                <c:formatCode>General</c:formatCode>
                <c:ptCount val="8"/>
                <c:pt idx="0">
                  <c:v>82.034454470877776</c:v>
                </c:pt>
                <c:pt idx="1">
                  <c:v>163.39869281045753</c:v>
                </c:pt>
                <c:pt idx="2">
                  <c:v>205.71898786257972</c:v>
                </c:pt>
                <c:pt idx="3">
                  <c:v>330.68783068783068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F6-4B06-8828-D262054FB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231408"/>
        <c:axId val="1083232368"/>
      </c:scatterChart>
      <c:valAx>
        <c:axId val="10832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Reciprocal Pyruvate</a:t>
                </a:r>
                <a:r>
                  <a:rPr lang="en-US" baseline="0"/>
                  <a:t> Concentartion (1/mol)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2368"/>
        <c:crosses val="autoZero"/>
        <c:crossBetween val="midCat"/>
      </c:valAx>
      <c:valAx>
        <c:axId val="10832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Recpirocal</a:t>
                </a:r>
                <a:r>
                  <a:rPr lang="en-US" baseline="0"/>
                  <a:t> Initial Velocity 1/(mol/sec)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3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Michaelis Menten Plot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Oxamate Inhibitor Concentration of 0.000704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0.1"/>
            <c:dispRSqr val="0"/>
            <c:dispEq val="0"/>
          </c:trendline>
          <c:xVal>
            <c:numRef>
              <c:f>'Kinetics Week 3_Inhib2_c3'!$J$2:$J$5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'Kinetics Week 3_Inhib2_c3'!$L$2:$L$5</c:f>
              <c:numCache>
                <c:formatCode>General</c:formatCode>
                <c:ptCount val="4"/>
                <c:pt idx="0">
                  <c:v>1.2189999999999999E-2</c:v>
                </c:pt>
                <c:pt idx="1">
                  <c:v>6.1199999999999996E-3</c:v>
                </c:pt>
                <c:pt idx="2">
                  <c:v>4.8609999999999999E-3</c:v>
                </c:pt>
                <c:pt idx="3">
                  <c:v>3.0240000000000002E-3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EB-4D33-AB2A-29075390D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54751"/>
        <c:axId val="2046860735"/>
      </c:scatterChart>
      <c:valAx>
        <c:axId val="13267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Pyruvate Concentartion (mol/L)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60735"/>
        <c:crosses val="autoZero"/>
        <c:crossBetween val="midCat"/>
      </c:valAx>
      <c:valAx>
        <c:axId val="20468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Initial Velocity 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LDH Lineweaver Burke Plot With Oxamate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314104010742902E-2"/>
          <c:y val="0.11351555241158487"/>
          <c:w val="0.72490617356857079"/>
          <c:h val="0.77094257954597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'Week 3 Inhib_together'!$A$1:$B$1</c:f>
              <c:strCache>
                <c:ptCount val="1"/>
                <c:pt idx="0">
                  <c:v>LDH - No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2000"/>
            <c:dispRSqr val="0"/>
            <c:dispEq val="0"/>
          </c:trendline>
          <c:xVal>
            <c:numRef>
              <c:f>'Week 3 Inhib_together'!$A$3:$A$6</c:f>
              <c:numCache>
                <c:formatCode>General</c:formatCode>
                <c:ptCount val="4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'Week 3 Inhib_together'!$B$3:$B$6</c:f>
              <c:numCache>
                <c:formatCode>General</c:formatCode>
                <c:ptCount val="4"/>
                <c:pt idx="0">
                  <c:v>28.661507595299515</c:v>
                </c:pt>
                <c:pt idx="1">
                  <c:v>30.750307503075032</c:v>
                </c:pt>
                <c:pt idx="2">
                  <c:v>51.519835136527561</c:v>
                </c:pt>
                <c:pt idx="3">
                  <c:v>97.181729834791057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6-46FD-8814-11828AAD12CB}"/>
            </c:ext>
          </c:extLst>
        </c:ser>
        <c:ser>
          <c:idx val="2"/>
          <c:order val="1"/>
          <c:tx>
            <c:strRef>
              <c:f>'Week 3 Inhib_together'!$D$1:$E$1</c:f>
              <c:strCache>
                <c:ptCount val="1"/>
                <c:pt idx="0">
                  <c:v>LDH - 0.5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backward val="2000"/>
            <c:dispRSqr val="0"/>
            <c:dispEq val="0"/>
          </c:trendline>
          <c:xVal>
            <c:numRef>
              <c:f>'Week 3 Inhib_together'!$D$3:$D$6</c:f>
              <c:numCache>
                <c:formatCode>General</c:formatCode>
                <c:ptCount val="4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'Week 3 Inhib_together'!$E$3:$E$6</c:f>
              <c:numCache>
                <c:formatCode>General</c:formatCode>
                <c:ptCount val="4"/>
                <c:pt idx="0">
                  <c:v>257.86487880350694</c:v>
                </c:pt>
                <c:pt idx="1">
                  <c:v>326.05151613955007</c:v>
                </c:pt>
                <c:pt idx="2">
                  <c:v>565.93095642331639</c:v>
                </c:pt>
                <c:pt idx="3">
                  <c:v>809.06148867313925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A6-46FD-8814-11828AAD12CB}"/>
            </c:ext>
          </c:extLst>
        </c:ser>
        <c:ser>
          <c:idx val="5"/>
          <c:order val="2"/>
          <c:tx>
            <c:strRef>
              <c:f>'Week 3 Inhib_together'!$G$1:$H$1</c:f>
              <c:strCache>
                <c:ptCount val="1"/>
                <c:pt idx="0">
                  <c:v>LDH - 0.3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backward val="2000"/>
            <c:dispRSqr val="0"/>
            <c:dispEq val="0"/>
          </c:trendline>
          <c:xVal>
            <c:numRef>
              <c:f>'Week 3 Inhib_together'!$G$3:$G$6</c:f>
              <c:numCache>
                <c:formatCode>General</c:formatCode>
                <c:ptCount val="4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'Week 3 Inhib_together'!$H$3:$H$6</c:f>
              <c:numCache>
                <c:formatCode>General</c:formatCode>
                <c:ptCount val="4"/>
                <c:pt idx="0">
                  <c:v>46.232085067036522</c:v>
                </c:pt>
                <c:pt idx="1">
                  <c:v>110.57054400707652</c:v>
                </c:pt>
                <c:pt idx="2">
                  <c:v>559.91041433370663</c:v>
                </c:pt>
                <c:pt idx="3">
                  <c:v>645.16129032258061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A6-46FD-8814-11828AAD12CB}"/>
            </c:ext>
          </c:extLst>
        </c:ser>
        <c:ser>
          <c:idx val="8"/>
          <c:order val="3"/>
          <c:tx>
            <c:strRef>
              <c:f>'Week 3 Inhib_together'!$J$1:$K$1</c:f>
              <c:strCache>
                <c:ptCount val="1"/>
                <c:pt idx="0">
                  <c:v>LDH - 0.1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backward val="2000"/>
            <c:dispRSqr val="0"/>
            <c:dispEq val="0"/>
          </c:trendline>
          <c:xVal>
            <c:numRef>
              <c:f>'Week 3 Inhib_together'!$J$3:$J$6</c:f>
              <c:numCache>
                <c:formatCode>General</c:formatCode>
                <c:ptCount val="4"/>
                <c:pt idx="0">
                  <c:v>142.04545454545456</c:v>
                </c:pt>
                <c:pt idx="1">
                  <c:v>568.18181818181824</c:v>
                </c:pt>
                <c:pt idx="2">
                  <c:v>1136.3636363636365</c:v>
                </c:pt>
                <c:pt idx="3">
                  <c:v>2272.727272727273</c:v>
                </c:pt>
              </c:numCache>
            </c:numRef>
          </c:xVal>
          <c:yVal>
            <c:numRef>
              <c:f>'Week 3 Inhib_together'!$K$3:$K$6</c:f>
              <c:numCache>
                <c:formatCode>General</c:formatCode>
                <c:ptCount val="4"/>
                <c:pt idx="0">
                  <c:v>82.034454470877776</c:v>
                </c:pt>
                <c:pt idx="1">
                  <c:v>163.39869281045753</c:v>
                </c:pt>
                <c:pt idx="2">
                  <c:v>205.71898786257972</c:v>
                </c:pt>
                <c:pt idx="3">
                  <c:v>330.68783068783068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A6-46FD-8814-11828AAD1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19424"/>
        <c:axId val="1327262655"/>
      </c:scatterChart>
      <c:valAx>
        <c:axId val="7231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Reciprocal Pyruvate Concentartion (1/mol)</a:t>
                </a:r>
              </a:p>
            </c:rich>
          </c:tx>
          <c:layout>
            <c:manualLayout>
              <c:xMode val="edge"/>
              <c:yMode val="edge"/>
              <c:x val="0.25413389801455372"/>
              <c:y val="0.912265506285398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262655"/>
        <c:crosses val="autoZero"/>
        <c:crossBetween val="midCat"/>
      </c:valAx>
      <c:valAx>
        <c:axId val="132726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Recpirocal Initial Velocity 1/(mol/sec)</a:t>
                </a:r>
              </a:p>
            </c:rich>
          </c:tx>
          <c:layout>
            <c:manualLayout>
              <c:xMode val="edge"/>
              <c:yMode val="edge"/>
              <c:x val="4.3150085457701855E-3"/>
              <c:y val="0.18861375880646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1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104159995084836"/>
          <c:y val="0.14657866226725008"/>
          <c:w val="0.17133450863675631"/>
          <c:h val="0.70703042996745025"/>
        </c:manualLayout>
      </c:layout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LDH Michaelis Menten Plot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Varying Oxamate Inhibitor Concentration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13372851377098E-2"/>
          <c:y val="0.14193942451965849"/>
          <c:w val="0.81546346060601937"/>
          <c:h val="0.726492755478736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'Week 3 Inhib_together'!$A$36:$B$36</c:f>
              <c:strCache>
                <c:ptCount val="1"/>
                <c:pt idx="0">
                  <c:v>LDH - No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0.02"/>
            <c:dispRSqr val="0"/>
            <c:dispEq val="0"/>
          </c:trendline>
          <c:xVal>
            <c:numRef>
              <c:f>'Week 3 Inhib_together'!$A$38:$A$41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'Week 3 Inhib_together'!$B$38:$B$41</c:f>
              <c:numCache>
                <c:formatCode>General</c:formatCode>
                <c:ptCount val="4"/>
                <c:pt idx="0">
                  <c:v>5.636E-2</c:v>
                </c:pt>
                <c:pt idx="1">
                  <c:v>4.3479999999999998E-2</c:v>
                </c:pt>
                <c:pt idx="2">
                  <c:v>3.1800000000000002E-2</c:v>
                </c:pt>
                <c:pt idx="3">
                  <c:v>1.014E-2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FD-4720-A12E-E93E6685D384}"/>
            </c:ext>
          </c:extLst>
        </c:ser>
        <c:ser>
          <c:idx val="1"/>
          <c:order val="1"/>
          <c:tx>
            <c:strRef>
              <c:f>'Week 3 Inhib_together'!$D$36:$E$36</c:f>
              <c:strCache>
                <c:ptCount val="1"/>
                <c:pt idx="0">
                  <c:v>LDH - 0.5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0.02"/>
            <c:dispRSqr val="0"/>
            <c:dispEq val="0"/>
          </c:trendline>
          <c:xVal>
            <c:numRef>
              <c:f>'Week 3 Inhib_together'!$D$38:$D$41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'Week 3 Inhib_together'!$E$38:$E$41</c:f>
              <c:numCache>
                <c:formatCode>General</c:formatCode>
                <c:ptCount val="4"/>
                <c:pt idx="0">
                  <c:v>2.1520000000000001E-2</c:v>
                </c:pt>
                <c:pt idx="1">
                  <c:v>8.3250000000000008E-3</c:v>
                </c:pt>
                <c:pt idx="2">
                  <c:v>4.4099999999999999E-3</c:v>
                </c:pt>
                <c:pt idx="3">
                  <c:v>2.2239999999999998E-3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FD-4720-A12E-E93E6685D384}"/>
            </c:ext>
          </c:extLst>
        </c:ser>
        <c:ser>
          <c:idx val="2"/>
          <c:order val="2"/>
          <c:tx>
            <c:strRef>
              <c:f>'Week 3 Inhib_together'!$G$36:$H$36</c:f>
              <c:strCache>
                <c:ptCount val="1"/>
                <c:pt idx="0">
                  <c:v>LDH - 0.3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forward val="0.02"/>
            <c:dispRSqr val="0"/>
            <c:dispEq val="0"/>
          </c:trendline>
          <c:xVal>
            <c:numRef>
              <c:f>'Week 3 Inhib_together'!$G$38:$G$41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'Week 3 Inhib_together'!$H$38:$H$41</c:f>
              <c:numCache>
                <c:formatCode>General</c:formatCode>
                <c:ptCount val="4"/>
                <c:pt idx="0">
                  <c:v>1.2829999999999999E-2</c:v>
                </c:pt>
                <c:pt idx="1">
                  <c:v>1.128E-2</c:v>
                </c:pt>
                <c:pt idx="2">
                  <c:v>6.8190000000000004E-3</c:v>
                </c:pt>
                <c:pt idx="3">
                  <c:v>6.1260000000000004E-3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FD-4720-A12E-E93E6685D384}"/>
            </c:ext>
          </c:extLst>
        </c:ser>
        <c:ser>
          <c:idx val="3"/>
          <c:order val="3"/>
          <c:tx>
            <c:strRef>
              <c:f>'Week 3 Inhib_together'!$J$36:$K$36</c:f>
              <c:strCache>
                <c:ptCount val="1"/>
                <c:pt idx="0">
                  <c:v>LDH - 0.1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forward val="0.02"/>
            <c:dispRSqr val="0"/>
            <c:dispEq val="0"/>
          </c:trendline>
          <c:xVal>
            <c:numRef>
              <c:f>'Week 3 Inhib_together'!$J$38:$J$41</c:f>
              <c:numCache>
                <c:formatCode>General</c:formatCode>
                <c:ptCount val="4"/>
                <c:pt idx="0">
                  <c:v>7.0399999999999994E-3</c:v>
                </c:pt>
                <c:pt idx="1">
                  <c:v>1.7599999999999998E-3</c:v>
                </c:pt>
                <c:pt idx="2">
                  <c:v>8.7999999999999992E-4</c:v>
                </c:pt>
                <c:pt idx="3">
                  <c:v>4.3999999999999996E-4</c:v>
                </c:pt>
              </c:numCache>
            </c:numRef>
          </c:xVal>
          <c:yVal>
            <c:numRef>
              <c:f>'Week 3 Inhib_together'!$K$38:$K$41</c:f>
              <c:numCache>
                <c:formatCode>General</c:formatCode>
                <c:ptCount val="4"/>
                <c:pt idx="0">
                  <c:v>3.3619999999999997E-2</c:v>
                </c:pt>
                <c:pt idx="1">
                  <c:v>2.768E-2</c:v>
                </c:pt>
                <c:pt idx="2">
                  <c:v>1.397E-2</c:v>
                </c:pt>
                <c:pt idx="3">
                  <c:v>9.6179999999999998E-3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FD-4720-A12E-E93E6685D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559167"/>
        <c:axId val="1325454143"/>
      </c:scatterChart>
      <c:valAx>
        <c:axId val="133455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Pyruvate Concentartion (mol/L)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54143"/>
        <c:crosses val="autoZero"/>
        <c:crossBetween val="midCat"/>
      </c:valAx>
      <c:valAx>
        <c:axId val="132545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Initial Velocity (mol/sec)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59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87827031161448"/>
          <c:y val="0.17451249149411879"/>
          <c:w val="0.10297949204744897"/>
          <c:h val="0.746916496549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1028539</xdr:colOff>
      <xdr:row>14</xdr:row>
      <xdr:rowOff>100346</xdr:rowOff>
    </xdr:from>
    <xdr:to>
      <xdr:col>11</xdr:col>
      <xdr:colOff>552691</xdr:colOff>
      <xdr:row>23</xdr:row>
      <xdr:rowOff>128961</xdr:rowOff>
    </xdr:to>
    <xdr:graphicFrame macro="">
      <xdr:nvGraphicFramePr>
        <xdr:cNvPr id="156" name="Chart 1">
          <a:extLst>
            <a:ext uri="{FF2B5EF4-FFF2-40B4-BE49-F238E27FC236}">
              <a16:creationId xmlns:a16="http://schemas.microsoft.com/office/drawing/2014/main" id="{ED17F010-3685-32E5-996C-BE22BC970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1233488</xdr:colOff>
      <xdr:row>9</xdr:row>
      <xdr:rowOff>95250</xdr:rowOff>
    </xdr:from>
    <xdr:to>
      <xdr:col>12</xdr:col>
      <xdr:colOff>161925</xdr:colOff>
      <xdr:row>19</xdr:row>
      <xdr:rowOff>38100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F3BD12C3-EA6E-AE2C-3C38-CE3B4EB66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1295239</xdr:colOff>
      <xdr:row>7</xdr:row>
      <xdr:rowOff>201946</xdr:rowOff>
    </xdr:from>
    <xdr:to>
      <xdr:col>11</xdr:col>
      <xdr:colOff>819391</xdr:colOff>
      <xdr:row>17</xdr:row>
      <xdr:rowOff>27361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7CE56-AE73-4942-ACEF-B1E44F9F5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101600</xdr:colOff>
      <xdr:row>18</xdr:row>
      <xdr:rowOff>66040</xdr:rowOff>
    </xdr:from>
    <xdr:to>
      <xdr:col>11</xdr:col>
      <xdr:colOff>731520</xdr:colOff>
      <xdr:row>31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5945FE-B185-35C0-5996-6C04E5EC7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1028538</xdr:colOff>
      <xdr:row>14</xdr:row>
      <xdr:rowOff>100346</xdr:rowOff>
    </xdr:from>
    <xdr:to>
      <xdr:col>15</xdr:col>
      <xdr:colOff>280581</xdr:colOff>
      <xdr:row>28</xdr:row>
      <xdr:rowOff>147675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6CDF9-C742-A341-81C6-F46F0BC67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207065</xdr:colOff>
      <xdr:row>30</xdr:row>
      <xdr:rowOff>94954</xdr:rowOff>
    </xdr:from>
    <xdr:to>
      <xdr:col>15</xdr:col>
      <xdr:colOff>55216</xdr:colOff>
      <xdr:row>49</xdr:row>
      <xdr:rowOff>41413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4923A4-7B8C-B346-A3C8-350E908AE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1028538</xdr:colOff>
      <xdr:row>14</xdr:row>
      <xdr:rowOff>10160</xdr:rowOff>
    </xdr:from>
    <xdr:to>
      <xdr:col>14</xdr:col>
      <xdr:colOff>406399</xdr:colOff>
      <xdr:row>23</xdr:row>
      <xdr:rowOff>128961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4CCBA1-8B45-9E4C-8E33-02013639A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881945</xdr:colOff>
      <xdr:row>24</xdr:row>
      <xdr:rowOff>176389</xdr:rowOff>
    </xdr:from>
    <xdr:to>
      <xdr:col>14</xdr:col>
      <xdr:colOff>292447</xdr:colOff>
      <xdr:row>44</xdr:row>
      <xdr:rowOff>58939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EAA18A-FC3A-7446-A792-AC97C9607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1028539</xdr:colOff>
      <xdr:row>11</xdr:row>
      <xdr:rowOff>81935</xdr:rowOff>
    </xdr:from>
    <xdr:to>
      <xdr:col>15</xdr:col>
      <xdr:colOff>819355</xdr:colOff>
      <xdr:row>23</xdr:row>
      <xdr:rowOff>128961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848EAC-2D69-1B4C-9A7C-7BD37C0DB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1202266</xdr:colOff>
      <xdr:row>25</xdr:row>
      <xdr:rowOff>50799</xdr:rowOff>
    </xdr:from>
    <xdr:to>
      <xdr:col>15</xdr:col>
      <xdr:colOff>372534</xdr:colOff>
      <xdr:row>44</xdr:row>
      <xdr:rowOff>53764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8B9AA8-AA0A-A344-B74C-557741989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222527</xdr:colOff>
      <xdr:row>11</xdr:row>
      <xdr:rowOff>50800</xdr:rowOff>
    </xdr:from>
    <xdr:to>
      <xdr:col>9</xdr:col>
      <xdr:colOff>825501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3A94D-9464-FF44-3162-FE42041EE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43</xdr:row>
      <xdr:rowOff>190500</xdr:rowOff>
    </xdr:from>
    <xdr:to>
      <xdr:col>15</xdr:col>
      <xdr:colOff>800100</xdr:colOff>
      <xdr:row>67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0F2FA6-B500-CE9A-F80E-C8AB5DD34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1295239</xdr:colOff>
      <xdr:row>7</xdr:row>
      <xdr:rowOff>201946</xdr:rowOff>
    </xdr:from>
    <xdr:to>
      <xdr:col>11</xdr:col>
      <xdr:colOff>819391</xdr:colOff>
      <xdr:row>17</xdr:row>
      <xdr:rowOff>27361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92AAFC-FAA0-40A0-818E-4CDCCBC69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101600</xdr:colOff>
      <xdr:row>18</xdr:row>
      <xdr:rowOff>66040</xdr:rowOff>
    </xdr:from>
    <xdr:to>
      <xdr:col>11</xdr:col>
      <xdr:colOff>731520</xdr:colOff>
      <xdr:row>31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270533-DB63-4EAE-8993-6CB2F8BDD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1028538</xdr:colOff>
      <xdr:row>14</xdr:row>
      <xdr:rowOff>100346</xdr:rowOff>
    </xdr:from>
    <xdr:to>
      <xdr:col>15</xdr:col>
      <xdr:colOff>280581</xdr:colOff>
      <xdr:row>28</xdr:row>
      <xdr:rowOff>147675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63F59F6-6835-42CD-9BD7-7FD18877B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207065</xdr:colOff>
      <xdr:row>30</xdr:row>
      <xdr:rowOff>94954</xdr:rowOff>
    </xdr:from>
    <xdr:to>
      <xdr:col>15</xdr:col>
      <xdr:colOff>55216</xdr:colOff>
      <xdr:row>49</xdr:row>
      <xdr:rowOff>41413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4D3DC25B-5471-419D-AA15-A96246EC3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1028538</xdr:colOff>
      <xdr:row>14</xdr:row>
      <xdr:rowOff>10160</xdr:rowOff>
    </xdr:from>
    <xdr:to>
      <xdr:col>14</xdr:col>
      <xdr:colOff>406399</xdr:colOff>
      <xdr:row>23</xdr:row>
      <xdr:rowOff>128961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99A116B-B05B-4AA5-B5C5-A6DC4599F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881945</xdr:colOff>
      <xdr:row>24</xdr:row>
      <xdr:rowOff>176389</xdr:rowOff>
    </xdr:from>
    <xdr:to>
      <xdr:col>14</xdr:col>
      <xdr:colOff>292447</xdr:colOff>
      <xdr:row>44</xdr:row>
      <xdr:rowOff>58939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E6F9B348-657D-48E5-A94C-A71306063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1028539</xdr:colOff>
      <xdr:row>11</xdr:row>
      <xdr:rowOff>81935</xdr:rowOff>
    </xdr:from>
    <xdr:to>
      <xdr:col>15</xdr:col>
      <xdr:colOff>819355</xdr:colOff>
      <xdr:row>23</xdr:row>
      <xdr:rowOff>128961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B181A0C2-949C-48B1-BF89-FE81455AC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1202266</xdr:colOff>
      <xdr:row>25</xdr:row>
      <xdr:rowOff>50799</xdr:rowOff>
    </xdr:from>
    <xdr:to>
      <xdr:col>15</xdr:col>
      <xdr:colOff>372534</xdr:colOff>
      <xdr:row>44</xdr:row>
      <xdr:rowOff>53764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55A0D508-B345-4EC4-B6A7-BDA276179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222527</xdr:colOff>
      <xdr:row>11</xdr:row>
      <xdr:rowOff>50800</xdr:rowOff>
    </xdr:from>
    <xdr:to>
      <xdr:col>9</xdr:col>
      <xdr:colOff>825501</xdr:colOff>
      <xdr:row>32</xdr:row>
      <xdr:rowOff>127000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C4A9A8E-BB21-4944-BBDB-DFBF3B5D4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584200</xdr:colOff>
      <xdr:row>43</xdr:row>
      <xdr:rowOff>190500</xdr:rowOff>
    </xdr:from>
    <xdr:to>
      <xdr:col>15</xdr:col>
      <xdr:colOff>800100</xdr:colOff>
      <xdr:row>67</xdr:row>
      <xdr:rowOff>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91735376-8055-40B5-A370-B0311CF79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0C01-2DBF-C549-9D00-9E358E17B47D}">
  <dimension ref="A1:G43"/>
  <sheetViews>
    <sheetView zoomScale="108" workbookViewId="0">
      <selection activeCell="A41" sqref="A41:G41"/>
    </sheetView>
  </sheetViews>
  <sheetFormatPr defaultColWidth="11" defaultRowHeight="15.75" x14ac:dyDescent="0.5"/>
  <cols>
    <col min="1" max="1" width="24.3125" customWidth="1"/>
    <col min="3" max="3" width="18.8125" customWidth="1"/>
    <col min="5" max="5" width="13.6875" customWidth="1"/>
    <col min="6" max="6" width="19.1875" customWidth="1"/>
    <col min="7" max="7" width="16.6875" bestFit="1" customWidth="1"/>
  </cols>
  <sheetData>
    <row r="1" spans="1:6" x14ac:dyDescent="0.5">
      <c r="A1" s="1"/>
      <c r="B1" s="1" t="s">
        <v>0</v>
      </c>
      <c r="C1" s="1" t="s">
        <v>1</v>
      </c>
    </row>
    <row r="2" spans="1:6" x14ac:dyDescent="0.5">
      <c r="A2" s="1" t="s">
        <v>2</v>
      </c>
      <c r="B2" s="1">
        <v>137.99</v>
      </c>
      <c r="C2" s="1">
        <v>6.82</v>
      </c>
    </row>
    <row r="3" spans="1:6" x14ac:dyDescent="0.5">
      <c r="A3" s="1" t="s">
        <v>3</v>
      </c>
      <c r="B3" s="1">
        <v>268.07</v>
      </c>
      <c r="C3" s="1" t="s">
        <v>4</v>
      </c>
    </row>
    <row r="4" spans="1:6" x14ac:dyDescent="0.5">
      <c r="A4" s="2"/>
      <c r="B4" s="2"/>
      <c r="C4" s="2"/>
      <c r="D4" s="2"/>
    </row>
    <row r="6" spans="1:6" x14ac:dyDescent="0.5">
      <c r="A6" s="50" t="s">
        <v>48</v>
      </c>
      <c r="B6" s="51"/>
      <c r="C6" s="51"/>
      <c r="D6" s="51"/>
      <c r="E6" s="51"/>
      <c r="F6" s="51"/>
    </row>
    <row r="7" spans="1:6" x14ac:dyDescent="0.5">
      <c r="A7" s="3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5" t="s">
        <v>10</v>
      </c>
    </row>
    <row r="8" spans="1:6" x14ac:dyDescent="0.5">
      <c r="A8" s="1" t="s">
        <v>3</v>
      </c>
      <c r="B8" s="6">
        <f>B12*E8</f>
        <v>2.6302679918953815E-2</v>
      </c>
      <c r="C8" s="7">
        <f>B8*(B11/1000)</f>
        <v>5.2605359837907635E-3</v>
      </c>
      <c r="D8" s="8">
        <f>C8*B3</f>
        <v>1.41019188117479</v>
      </c>
      <c r="E8" s="9">
        <f>(10^(B13-C2))^-1</f>
        <v>0.26302679918953814</v>
      </c>
      <c r="F8" s="37">
        <v>0.71699999999999997</v>
      </c>
    </row>
    <row r="9" spans="1:6" x14ac:dyDescent="0.5">
      <c r="A9" s="1" t="s">
        <v>2</v>
      </c>
      <c r="B9" s="6">
        <f>B12*E9</f>
        <v>7.3697320081046194E-2</v>
      </c>
      <c r="C9" s="7">
        <f>B9*(B11/1000)</f>
        <v>1.473946401620924E-2</v>
      </c>
      <c r="D9" s="6">
        <f>C9*B2</f>
        <v>2.0338986395967131</v>
      </c>
      <c r="E9" s="9">
        <f>1-E8</f>
        <v>0.73697320081046191</v>
      </c>
      <c r="F9" s="37">
        <v>1.226</v>
      </c>
    </row>
    <row r="10" spans="1:6" x14ac:dyDescent="0.5">
      <c r="D10" s="42"/>
    </row>
    <row r="11" spans="1:6" x14ac:dyDescent="0.5">
      <c r="A11" s="10" t="s">
        <v>11</v>
      </c>
      <c r="B11" s="10">
        <v>200</v>
      </c>
    </row>
    <row r="12" spans="1:6" x14ac:dyDescent="0.5">
      <c r="A12" s="10" t="s">
        <v>12</v>
      </c>
      <c r="B12" s="10">
        <v>0.1</v>
      </c>
    </row>
    <row r="13" spans="1:6" x14ac:dyDescent="0.5">
      <c r="A13" s="10" t="s">
        <v>13</v>
      </c>
      <c r="B13" s="10">
        <v>7.4</v>
      </c>
    </row>
    <row r="18" spans="1:7" x14ac:dyDescent="0.5">
      <c r="A18" s="1"/>
      <c r="B18" s="1" t="s">
        <v>0</v>
      </c>
    </row>
    <row r="19" spans="1:7" x14ac:dyDescent="0.5">
      <c r="A19" s="1" t="s">
        <v>14</v>
      </c>
      <c r="B19" s="1">
        <v>110.04</v>
      </c>
    </row>
    <row r="21" spans="1:7" x14ac:dyDescent="0.5">
      <c r="A21" s="52" t="s">
        <v>15</v>
      </c>
      <c r="B21" s="53"/>
      <c r="C21" s="53"/>
      <c r="D21" s="53"/>
      <c r="E21" s="53"/>
      <c r="F21" s="53"/>
      <c r="G21" s="54"/>
    </row>
    <row r="22" spans="1:7" x14ac:dyDescent="0.5">
      <c r="A22" s="3" t="s">
        <v>5</v>
      </c>
      <c r="B22" s="4" t="s">
        <v>16</v>
      </c>
      <c r="C22" s="4" t="s">
        <v>17</v>
      </c>
      <c r="D22" s="4" t="s">
        <v>8</v>
      </c>
      <c r="E22" s="4" t="s">
        <v>18</v>
      </c>
      <c r="F22" s="5" t="s">
        <v>10</v>
      </c>
      <c r="G22" s="5" t="s">
        <v>37</v>
      </c>
    </row>
    <row r="23" spans="1:7" x14ac:dyDescent="0.5">
      <c r="A23" s="1" t="s">
        <v>14</v>
      </c>
      <c r="B23" s="11">
        <f>22/1000</f>
        <v>2.1999999999999999E-2</v>
      </c>
      <c r="C23" s="11">
        <f>B23*(E23/1000)</f>
        <v>1.1000000000000001E-3</v>
      </c>
      <c r="D23" s="11">
        <f>C23*B19</f>
        <v>0.12104400000000001</v>
      </c>
      <c r="E23" s="12">
        <v>50</v>
      </c>
      <c r="F23" s="31">
        <v>0.13</v>
      </c>
      <c r="G23" s="32">
        <f>F23/B19/B23 *1000</f>
        <v>53.699481180397214</v>
      </c>
    </row>
    <row r="29" spans="1:7" x14ac:dyDescent="0.5">
      <c r="A29" s="1"/>
      <c r="B29" s="1" t="s">
        <v>0</v>
      </c>
    </row>
    <row r="30" spans="1:7" x14ac:dyDescent="0.5">
      <c r="A30" s="1" t="s">
        <v>45</v>
      </c>
      <c r="B30" s="1">
        <v>111.03</v>
      </c>
    </row>
    <row r="32" spans="1:7" x14ac:dyDescent="0.5">
      <c r="A32" s="52" t="s">
        <v>45</v>
      </c>
      <c r="B32" s="53"/>
      <c r="C32" s="53"/>
      <c r="D32" s="53"/>
      <c r="E32" s="53"/>
      <c r="F32" s="53"/>
      <c r="G32" s="54"/>
    </row>
    <row r="33" spans="1:7" x14ac:dyDescent="0.5">
      <c r="A33" s="3" t="s">
        <v>5</v>
      </c>
      <c r="B33" s="4" t="s">
        <v>16</v>
      </c>
      <c r="C33" s="4" t="s">
        <v>17</v>
      </c>
      <c r="D33" s="4" t="s">
        <v>8</v>
      </c>
      <c r="E33" s="4" t="s">
        <v>18</v>
      </c>
      <c r="F33" s="5" t="s">
        <v>10</v>
      </c>
      <c r="G33" s="5" t="s">
        <v>37</v>
      </c>
    </row>
    <row r="34" spans="1:7" x14ac:dyDescent="0.5">
      <c r="A34" s="1" t="s">
        <v>14</v>
      </c>
      <c r="B34" s="11">
        <f>0.015</f>
        <v>1.4999999999999999E-2</v>
      </c>
      <c r="C34" s="11">
        <f>B34*(E34/1000)</f>
        <v>8.9999999999999998E-4</v>
      </c>
      <c r="D34" s="11">
        <f>C34*B30</f>
        <v>9.9927000000000002E-2</v>
      </c>
      <c r="E34" s="12">
        <v>60</v>
      </c>
      <c r="F34" s="31"/>
      <c r="G34" s="32">
        <f>F34/B30/B34 *1000</f>
        <v>0</v>
      </c>
    </row>
    <row r="38" spans="1:7" x14ac:dyDescent="0.5">
      <c r="A38" s="1"/>
      <c r="B38" s="1" t="s">
        <v>0</v>
      </c>
    </row>
    <row r="39" spans="1:7" x14ac:dyDescent="0.5">
      <c r="A39" s="1" t="s">
        <v>46</v>
      </c>
      <c r="B39" s="1">
        <v>130</v>
      </c>
    </row>
    <row r="41" spans="1:7" x14ac:dyDescent="0.5">
      <c r="A41" s="52" t="s">
        <v>46</v>
      </c>
      <c r="B41" s="53"/>
      <c r="C41" s="53"/>
      <c r="D41" s="53"/>
      <c r="E41" s="53"/>
      <c r="F41" s="53"/>
      <c r="G41" s="54"/>
    </row>
    <row r="42" spans="1:7" x14ac:dyDescent="0.5">
      <c r="A42" s="3" t="s">
        <v>5</v>
      </c>
      <c r="B42" s="4" t="s">
        <v>16</v>
      </c>
      <c r="C42" s="4" t="s">
        <v>17</v>
      </c>
      <c r="D42" s="4" t="s">
        <v>8</v>
      </c>
      <c r="E42" s="4" t="s">
        <v>18</v>
      </c>
      <c r="F42" s="5" t="s">
        <v>10</v>
      </c>
      <c r="G42" s="5" t="s">
        <v>37</v>
      </c>
    </row>
    <row r="43" spans="1:7" x14ac:dyDescent="0.5">
      <c r="A43" s="1" t="s">
        <v>14</v>
      </c>
      <c r="B43" s="11">
        <v>3.0000000000000001E-3</v>
      </c>
      <c r="C43" s="11">
        <f>B43*(E43/1000)</f>
        <v>8.9999999999999992E-5</v>
      </c>
      <c r="D43" s="11">
        <f>C43*B39</f>
        <v>1.1699999999999999E-2</v>
      </c>
      <c r="E43" s="12">
        <v>30</v>
      </c>
      <c r="F43" s="31"/>
      <c r="G43" s="32">
        <f>F43/B39/B43 *1000</f>
        <v>0</v>
      </c>
    </row>
  </sheetData>
  <mergeCells count="4">
    <mergeCell ref="A6:F6"/>
    <mergeCell ref="A21:G21"/>
    <mergeCell ref="A32:G32"/>
    <mergeCell ref="A41:G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7E1A-6A20-0545-8DF9-D78526C06F97}">
  <dimension ref="A1:L24"/>
  <sheetViews>
    <sheetView zoomScale="75" workbookViewId="0">
      <selection activeCell="G2" sqref="G2"/>
    </sheetView>
  </sheetViews>
  <sheetFormatPr defaultColWidth="11" defaultRowHeight="15.75" x14ac:dyDescent="0.5"/>
  <cols>
    <col min="1" max="1" width="21.3125" customWidth="1"/>
    <col min="2" max="2" width="12.8125" customWidth="1"/>
    <col min="3" max="3" width="16.1875" customWidth="1"/>
    <col min="5" max="5" width="18.6875" customWidth="1"/>
    <col min="6" max="6" width="20.3125" customWidth="1"/>
    <col min="7" max="7" width="17.1875" customWidth="1"/>
    <col min="8" max="8" width="18.5" customWidth="1"/>
  </cols>
  <sheetData>
    <row r="1" spans="1:12" ht="31.5" x14ac:dyDescent="0.5">
      <c r="A1" s="13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30</v>
      </c>
    </row>
    <row r="2" spans="1:12" x14ac:dyDescent="0.5">
      <c r="A2" s="15">
        <v>1</v>
      </c>
      <c r="B2" s="17">
        <v>100</v>
      </c>
      <c r="C2" s="16">
        <v>600</v>
      </c>
      <c r="D2" s="17">
        <v>140</v>
      </c>
      <c r="E2" s="16">
        <f>F2-(C2+D2+B2)</f>
        <v>410</v>
      </c>
      <c r="F2" s="17">
        <v>1250</v>
      </c>
      <c r="G2" s="17">
        <f t="shared" ref="G2:G10" si="0">($C$19*D2)/F2</f>
        <v>5.0400000000000002E-3</v>
      </c>
      <c r="H2" s="17">
        <f t="shared" ref="H2:H10" si="1">($C$18*C2)/F2</f>
        <v>1.056E-2</v>
      </c>
      <c r="I2" s="17">
        <v>-6.3439999999999996E-2</v>
      </c>
      <c r="J2" s="17">
        <f t="shared" ref="J2:J8" si="2">-I2</f>
        <v>6.3439999999999996E-2</v>
      </c>
      <c r="K2" s="17">
        <f>1/H2</f>
        <v>94.696969696969703</v>
      </c>
      <c r="L2" s="17">
        <f>1/J2</f>
        <v>15.762925598991174</v>
      </c>
    </row>
    <row r="3" spans="1:12" x14ac:dyDescent="0.5">
      <c r="A3" s="15">
        <v>2</v>
      </c>
      <c r="B3" s="17">
        <v>100</v>
      </c>
      <c r="C3" s="16">
        <v>550</v>
      </c>
      <c r="D3" s="17">
        <v>140</v>
      </c>
      <c r="E3" s="16">
        <f t="shared" ref="E3:E10" si="3">F3-(C3+D3+B3)</f>
        <v>460</v>
      </c>
      <c r="F3" s="17">
        <v>1250</v>
      </c>
      <c r="G3" s="17">
        <f t="shared" si="0"/>
        <v>5.0400000000000002E-3</v>
      </c>
      <c r="H3" s="17">
        <f t="shared" si="1"/>
        <v>9.6799999999999994E-3</v>
      </c>
      <c r="I3" s="17">
        <v>-5.0979999999999998E-2</v>
      </c>
      <c r="J3" s="17">
        <f t="shared" si="2"/>
        <v>5.0979999999999998E-2</v>
      </c>
      <c r="K3" s="17">
        <f t="shared" ref="K3:K8" si="4">1/H3</f>
        <v>103.30578512396694</v>
      </c>
      <c r="L3" s="17">
        <f t="shared" ref="L3:L8" si="5">1/J3</f>
        <v>19.615535504119265</v>
      </c>
    </row>
    <row r="4" spans="1:12" x14ac:dyDescent="0.5">
      <c r="A4" s="15">
        <v>3</v>
      </c>
      <c r="B4" s="17">
        <v>100</v>
      </c>
      <c r="C4" s="16">
        <v>500</v>
      </c>
      <c r="D4" s="17">
        <v>140</v>
      </c>
      <c r="E4" s="16">
        <f t="shared" si="3"/>
        <v>510</v>
      </c>
      <c r="F4" s="17">
        <v>1250</v>
      </c>
      <c r="G4" s="17">
        <f t="shared" si="0"/>
        <v>5.0400000000000002E-3</v>
      </c>
      <c r="H4" s="17">
        <f t="shared" si="1"/>
        <v>8.8000000000000005E-3</v>
      </c>
      <c r="I4" s="17">
        <v>-3.6159999999999998E-2</v>
      </c>
      <c r="J4" s="17">
        <f t="shared" si="2"/>
        <v>3.6159999999999998E-2</v>
      </c>
      <c r="K4" s="17">
        <f t="shared" si="4"/>
        <v>113.63636363636363</v>
      </c>
      <c r="L4" s="17">
        <f t="shared" si="5"/>
        <v>27.654867256637171</v>
      </c>
    </row>
    <row r="5" spans="1:12" ht="19.05" customHeight="1" x14ac:dyDescent="0.5">
      <c r="A5" s="15">
        <v>4</v>
      </c>
      <c r="B5" s="17">
        <v>100</v>
      </c>
      <c r="C5" s="16">
        <v>450</v>
      </c>
      <c r="D5" s="17">
        <v>140</v>
      </c>
      <c r="E5" s="16">
        <f t="shared" si="3"/>
        <v>560</v>
      </c>
      <c r="F5" s="17">
        <v>1250</v>
      </c>
      <c r="G5" s="17">
        <f t="shared" si="0"/>
        <v>5.0400000000000002E-3</v>
      </c>
      <c r="H5" s="17">
        <f t="shared" si="1"/>
        <v>7.9199999999999982E-3</v>
      </c>
      <c r="I5" s="17">
        <v>-2.4250000000000001E-2</v>
      </c>
      <c r="J5" s="17">
        <f t="shared" si="2"/>
        <v>2.4250000000000001E-2</v>
      </c>
      <c r="K5" s="17">
        <f t="shared" si="4"/>
        <v>126.26262626262628</v>
      </c>
      <c r="L5" s="17">
        <f t="shared" si="5"/>
        <v>41.237113402061851</v>
      </c>
    </row>
    <row r="6" spans="1:12" x14ac:dyDescent="0.5">
      <c r="A6" s="15">
        <v>5</v>
      </c>
      <c r="B6" s="17">
        <v>100</v>
      </c>
      <c r="C6" s="16">
        <v>400</v>
      </c>
      <c r="D6" s="17">
        <v>140</v>
      </c>
      <c r="E6" s="16">
        <f t="shared" si="3"/>
        <v>610</v>
      </c>
      <c r="F6" s="17">
        <v>1250</v>
      </c>
      <c r="G6" s="17">
        <f t="shared" si="0"/>
        <v>5.0400000000000002E-3</v>
      </c>
      <c r="H6" s="17">
        <f t="shared" si="1"/>
        <v>7.0399999999999994E-3</v>
      </c>
      <c r="I6" s="17">
        <v>-3.2000000000000001E-2</v>
      </c>
      <c r="J6" s="17">
        <f t="shared" si="2"/>
        <v>3.2000000000000001E-2</v>
      </c>
      <c r="K6" s="17">
        <f t="shared" si="4"/>
        <v>142.04545454545456</v>
      </c>
      <c r="L6" s="17">
        <f t="shared" si="5"/>
        <v>31.25</v>
      </c>
    </row>
    <row r="7" spans="1:12" x14ac:dyDescent="0.5">
      <c r="A7" s="15">
        <v>6</v>
      </c>
      <c r="B7" s="17">
        <v>100</v>
      </c>
      <c r="C7" s="16">
        <v>350</v>
      </c>
      <c r="D7" s="17">
        <v>140</v>
      </c>
      <c r="E7" s="16">
        <f t="shared" si="3"/>
        <v>660</v>
      </c>
      <c r="F7" s="17">
        <v>1250</v>
      </c>
      <c r="G7" s="17">
        <f t="shared" si="0"/>
        <v>5.0400000000000002E-3</v>
      </c>
      <c r="H7" s="17">
        <f t="shared" si="1"/>
        <v>6.1599999999999997E-3</v>
      </c>
      <c r="I7" s="17">
        <v>-3.0079999999999999E-2</v>
      </c>
      <c r="J7" s="17">
        <f t="shared" si="2"/>
        <v>3.0079999999999999E-2</v>
      </c>
      <c r="K7" s="17">
        <f t="shared" si="4"/>
        <v>162.33766233766235</v>
      </c>
      <c r="L7" s="17">
        <f t="shared" si="5"/>
        <v>33.244680851063833</v>
      </c>
    </row>
    <row r="8" spans="1:12" x14ac:dyDescent="0.5">
      <c r="A8" s="15">
        <v>7</v>
      </c>
      <c r="B8" s="17">
        <v>100</v>
      </c>
      <c r="C8" s="16">
        <v>300</v>
      </c>
      <c r="D8" s="17">
        <v>140</v>
      </c>
      <c r="E8" s="16">
        <f t="shared" si="3"/>
        <v>710</v>
      </c>
      <c r="F8" s="17">
        <v>1250</v>
      </c>
      <c r="G8" s="17">
        <f t="shared" si="0"/>
        <v>5.0400000000000002E-3</v>
      </c>
      <c r="H8" s="17">
        <f t="shared" si="1"/>
        <v>5.28E-3</v>
      </c>
      <c r="I8" s="17">
        <v>-3.2530000000000003E-2</v>
      </c>
      <c r="J8" s="17">
        <f t="shared" si="2"/>
        <v>3.2530000000000003E-2</v>
      </c>
      <c r="K8" s="17">
        <f t="shared" si="4"/>
        <v>189.39393939393941</v>
      </c>
      <c r="L8" s="17">
        <f t="shared" si="5"/>
        <v>30.74085459575776</v>
      </c>
    </row>
    <row r="9" spans="1:12" x14ac:dyDescent="0.5">
      <c r="A9" s="15">
        <v>8</v>
      </c>
      <c r="B9" s="17">
        <v>100</v>
      </c>
      <c r="C9" s="16">
        <v>800</v>
      </c>
      <c r="D9" s="17">
        <v>140</v>
      </c>
      <c r="E9" s="16">
        <f t="shared" si="3"/>
        <v>210</v>
      </c>
      <c r="F9" s="17">
        <v>1250</v>
      </c>
      <c r="G9" s="17">
        <f t="shared" si="0"/>
        <v>5.0400000000000002E-3</v>
      </c>
      <c r="H9" s="17">
        <f t="shared" si="1"/>
        <v>1.4079999999999999E-2</v>
      </c>
      <c r="I9" s="17">
        <v>-0.47239999999999999</v>
      </c>
      <c r="J9" s="17">
        <f t="shared" ref="J9:J10" si="6">-I9</f>
        <v>0.47239999999999999</v>
      </c>
      <c r="K9" s="17">
        <f>1/H9</f>
        <v>71.02272727272728</v>
      </c>
      <c r="L9" s="17">
        <f t="shared" ref="L9:L10" si="7">1/J9</f>
        <v>2.1168501270110078</v>
      </c>
    </row>
    <row r="10" spans="1:12" x14ac:dyDescent="0.5">
      <c r="A10" s="15">
        <v>9</v>
      </c>
      <c r="B10" s="17">
        <v>100</v>
      </c>
      <c r="C10" s="16">
        <v>700</v>
      </c>
      <c r="D10" s="17">
        <v>140</v>
      </c>
      <c r="E10" s="16">
        <f t="shared" si="3"/>
        <v>310</v>
      </c>
      <c r="F10" s="17">
        <v>1250</v>
      </c>
      <c r="G10" s="17">
        <f t="shared" si="0"/>
        <v>5.0400000000000002E-3</v>
      </c>
      <c r="H10" s="17">
        <f t="shared" si="1"/>
        <v>1.2319999999999999E-2</v>
      </c>
      <c r="I10" s="17">
        <v>-0.59570000000000001</v>
      </c>
      <c r="J10" s="17">
        <f t="shared" si="6"/>
        <v>0.59570000000000001</v>
      </c>
      <c r="K10" s="17">
        <f>1/H10</f>
        <v>81.168831168831176</v>
      </c>
      <c r="L10" s="17">
        <f t="shared" si="7"/>
        <v>1.6786973308712438</v>
      </c>
    </row>
    <row r="11" spans="1:12" x14ac:dyDescent="0.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x14ac:dyDescent="0.5">
      <c r="A12" s="18"/>
      <c r="B12" s="18"/>
      <c r="C12" s="18"/>
      <c r="D12" s="18"/>
      <c r="E12" s="30"/>
      <c r="F12" s="18"/>
      <c r="G12" s="18"/>
      <c r="H12" s="18"/>
      <c r="I12" s="18"/>
      <c r="J12" s="18"/>
      <c r="K12" s="18"/>
      <c r="L12" s="18"/>
    </row>
    <row r="13" spans="1:12" x14ac:dyDescent="0.5">
      <c r="A13" s="18"/>
      <c r="B13" s="18"/>
      <c r="C13" s="18"/>
      <c r="D13" s="18"/>
      <c r="E13" s="18"/>
      <c r="F13" s="18"/>
      <c r="G13" s="18"/>
      <c r="H13" s="18" t="s">
        <v>38</v>
      </c>
      <c r="I13" s="18"/>
      <c r="J13" s="18"/>
      <c r="K13" s="18"/>
      <c r="L13" s="18"/>
    </row>
    <row r="14" spans="1:12" x14ac:dyDescent="0.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x14ac:dyDescent="0.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63" x14ac:dyDescent="0.5">
      <c r="A18" s="18"/>
      <c r="B18" s="19" t="s">
        <v>31</v>
      </c>
      <c r="C18" s="23">
        <f>22/1000</f>
        <v>2.1999999999999999E-2</v>
      </c>
      <c r="D18" s="18"/>
      <c r="E18" s="20" t="s">
        <v>32</v>
      </c>
      <c r="F18" s="21">
        <f>SLOPE(L2:L10,K2:K10)</f>
        <v>0.27749760381313304</v>
      </c>
      <c r="G18" s="18"/>
      <c r="H18" s="18"/>
      <c r="I18" s="18"/>
      <c r="J18" s="18"/>
      <c r="K18" s="18"/>
      <c r="L18" s="18"/>
    </row>
    <row r="19" spans="1:12" ht="47.25" x14ac:dyDescent="0.5">
      <c r="A19" s="18"/>
      <c r="B19" s="22" t="s">
        <v>36</v>
      </c>
      <c r="C19" s="23">
        <v>4.4999999999999998E-2</v>
      </c>
      <c r="D19" s="18"/>
      <c r="E19" s="24" t="s">
        <v>33</v>
      </c>
      <c r="F19" s="25">
        <f>INTERCEPT(L2:L10,K2:K10)</f>
        <v>-10.829989213529014</v>
      </c>
      <c r="G19" s="18"/>
      <c r="H19" s="18"/>
      <c r="I19" s="18"/>
      <c r="J19" s="18"/>
      <c r="K19" s="18"/>
      <c r="L19" s="18"/>
    </row>
    <row r="20" spans="1:12" x14ac:dyDescent="0.5">
      <c r="A20" s="18"/>
      <c r="B20" s="22" t="s">
        <v>39</v>
      </c>
      <c r="C20" s="22">
        <f>4.1/1000</f>
        <v>4.0999999999999995E-3</v>
      </c>
      <c r="D20" s="18"/>
      <c r="E20" s="18"/>
      <c r="F20" s="18"/>
      <c r="G20" s="18"/>
      <c r="H20" s="18"/>
      <c r="I20" s="18"/>
      <c r="J20" s="18"/>
      <c r="K20" s="18"/>
      <c r="L20" s="18"/>
    </row>
    <row r="21" spans="1:12" x14ac:dyDescent="0.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x14ac:dyDescent="0.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x14ac:dyDescent="0.5">
      <c r="A23" s="18"/>
      <c r="B23" s="18"/>
      <c r="C23" s="18"/>
      <c r="D23" s="18"/>
      <c r="E23" s="26" t="s">
        <v>34</v>
      </c>
      <c r="F23" s="27">
        <f>-1/(INTERCEPT(K2:K10,L2:L10))</f>
        <v>-1.3966159214330649E-2</v>
      </c>
      <c r="G23" s="18"/>
      <c r="H23" s="18"/>
      <c r="I23" s="18"/>
      <c r="J23" s="18"/>
      <c r="K23" s="18"/>
      <c r="L23" s="18"/>
    </row>
    <row r="24" spans="1:12" x14ac:dyDescent="0.5">
      <c r="A24" s="18"/>
      <c r="B24" s="18"/>
      <c r="C24" s="18"/>
      <c r="D24" s="18"/>
      <c r="E24" s="28" t="s">
        <v>35</v>
      </c>
      <c r="F24" s="29">
        <f>1/F19</f>
        <v>-9.233619538150438E-2</v>
      </c>
      <c r="G24" s="18"/>
      <c r="H24" s="18"/>
      <c r="I24" s="18"/>
      <c r="J24" s="18"/>
      <c r="K24" s="18"/>
      <c r="L24" s="1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0521-4B8F-4A0C-A80B-28584CB4BF07}">
  <dimension ref="A1:R24"/>
  <sheetViews>
    <sheetView zoomScale="75" workbookViewId="0">
      <selection sqref="A1:H4"/>
    </sheetView>
  </sheetViews>
  <sheetFormatPr defaultColWidth="8.8125" defaultRowHeight="15.75" x14ac:dyDescent="0.5"/>
  <cols>
    <col min="1" max="1" width="13.6875" customWidth="1"/>
    <col min="2" max="2" width="14.8125" customWidth="1"/>
    <col min="5" max="5" width="12" customWidth="1"/>
    <col min="6" max="6" width="20.1875" customWidth="1"/>
    <col min="7" max="7" width="20.5" customWidth="1"/>
    <col min="8" max="8" width="17.6875" customWidth="1"/>
  </cols>
  <sheetData>
    <row r="1" spans="1:18" ht="63" x14ac:dyDescent="0.5">
      <c r="A1" s="13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30</v>
      </c>
      <c r="N1" s="13" t="s">
        <v>19</v>
      </c>
      <c r="O1" s="14" t="s">
        <v>27</v>
      </c>
      <c r="P1" s="14" t="s">
        <v>28</v>
      </c>
      <c r="Q1" s="14" t="s">
        <v>29</v>
      </c>
      <c r="R1" s="14" t="s">
        <v>30</v>
      </c>
    </row>
    <row r="2" spans="1:18" x14ac:dyDescent="0.5">
      <c r="A2" s="35">
        <v>1</v>
      </c>
      <c r="B2" s="35">
        <v>100</v>
      </c>
      <c r="C2" s="36">
        <v>600</v>
      </c>
      <c r="D2" s="35">
        <v>70</v>
      </c>
      <c r="E2" s="36">
        <f>F2-(C2+D2+B2)</f>
        <v>480</v>
      </c>
      <c r="F2" s="35">
        <v>1250</v>
      </c>
      <c r="G2" s="35">
        <f>($C$19*D2)/F2</f>
        <v>2.5200000000000001E-3</v>
      </c>
      <c r="H2" s="35">
        <f>($C$18*C2)/F2</f>
        <v>1.056E-2</v>
      </c>
      <c r="I2" s="35">
        <v>-3.2899999999999999E-2</v>
      </c>
      <c r="J2" s="35">
        <f t="shared" ref="J2:J4" si="0">-I2</f>
        <v>3.2899999999999999E-2</v>
      </c>
      <c r="K2" s="35">
        <f>1/H2</f>
        <v>94.696969696969703</v>
      </c>
      <c r="L2" s="35">
        <f>1/J2</f>
        <v>30.395136778115504</v>
      </c>
      <c r="N2" s="35">
        <v>1</v>
      </c>
      <c r="O2" s="35">
        <v>-3.2899999999999999E-2</v>
      </c>
      <c r="P2" s="35">
        <v>3.2899999999999999E-2</v>
      </c>
      <c r="Q2" s="35">
        <v>94.696969696969703</v>
      </c>
      <c r="R2" s="35">
        <v>30.395136778115504</v>
      </c>
    </row>
    <row r="3" spans="1:18" x14ac:dyDescent="0.5">
      <c r="A3" s="35">
        <v>2</v>
      </c>
      <c r="B3" s="35">
        <v>100</v>
      </c>
      <c r="C3" s="36">
        <v>500</v>
      </c>
      <c r="D3" s="35">
        <v>70</v>
      </c>
      <c r="E3" s="36">
        <f t="shared" ref="E3:E4" si="1">F3-(C3+D3+B3)</f>
        <v>580</v>
      </c>
      <c r="F3" s="35">
        <v>1250</v>
      </c>
      <c r="G3" s="35">
        <f>($C$19*D3)/F3</f>
        <v>2.5200000000000001E-3</v>
      </c>
      <c r="H3" s="35">
        <f>($C$18*C3)/F3</f>
        <v>8.8000000000000005E-3</v>
      </c>
      <c r="I3" s="35">
        <v>-3.7749999999999999E-2</v>
      </c>
      <c r="J3" s="35">
        <f t="shared" si="0"/>
        <v>3.7749999999999999E-2</v>
      </c>
      <c r="K3" s="35">
        <f t="shared" ref="K3:K4" si="2">1/H3</f>
        <v>113.63636363636363</v>
      </c>
      <c r="L3" s="35">
        <f t="shared" ref="L3:L4" si="3">1/J3</f>
        <v>26.490066225165563</v>
      </c>
      <c r="N3" s="35">
        <v>2</v>
      </c>
      <c r="O3" s="35">
        <v>-3.7749999999999999E-2</v>
      </c>
      <c r="P3" s="35">
        <v>3.7749999999999999E-2</v>
      </c>
      <c r="Q3" s="35">
        <v>113.63636363636363</v>
      </c>
      <c r="R3" s="35">
        <v>26.490066225165563</v>
      </c>
    </row>
    <row r="4" spans="1:18" x14ac:dyDescent="0.5">
      <c r="A4" s="35">
        <v>3</v>
      </c>
      <c r="B4" s="35">
        <v>100</v>
      </c>
      <c r="C4" s="36">
        <v>400</v>
      </c>
      <c r="D4" s="35">
        <v>70</v>
      </c>
      <c r="E4" s="36">
        <f t="shared" si="1"/>
        <v>680</v>
      </c>
      <c r="F4" s="35">
        <v>1250</v>
      </c>
      <c r="G4" s="35">
        <f>($C$19*D4)/F4</f>
        <v>2.5200000000000001E-3</v>
      </c>
      <c r="H4" s="35">
        <f>($C$18*C4)/F4</f>
        <v>7.0399999999999994E-3</v>
      </c>
      <c r="I4" s="35">
        <v>-4.9299999999999997E-2</v>
      </c>
      <c r="J4" s="35">
        <f t="shared" si="0"/>
        <v>4.9299999999999997E-2</v>
      </c>
      <c r="K4" s="35">
        <f t="shared" si="2"/>
        <v>142.04545454545456</v>
      </c>
      <c r="L4" s="35">
        <f t="shared" si="3"/>
        <v>20.28397565922921</v>
      </c>
      <c r="N4" s="35">
        <v>3</v>
      </c>
      <c r="O4" s="35">
        <v>-4.9299999999999997E-2</v>
      </c>
      <c r="P4" s="35">
        <v>4.9299999999999997E-2</v>
      </c>
      <c r="Q4" s="35">
        <v>142.04545454545456</v>
      </c>
      <c r="R4" s="35">
        <v>20.28397565922921</v>
      </c>
    </row>
    <row r="5" spans="1:18" x14ac:dyDescent="0.5">
      <c r="A5" s="33"/>
      <c r="B5" s="33"/>
      <c r="C5" s="34"/>
      <c r="D5" s="33"/>
      <c r="E5" s="34"/>
      <c r="F5" s="33"/>
      <c r="G5" s="33"/>
      <c r="H5" s="33"/>
      <c r="I5" s="33"/>
      <c r="J5" s="33"/>
      <c r="K5" s="33"/>
      <c r="L5" s="33"/>
    </row>
    <row r="6" spans="1:18" x14ac:dyDescent="0.5">
      <c r="A6" s="33"/>
      <c r="B6" s="33"/>
      <c r="C6" s="34"/>
      <c r="D6" s="33"/>
      <c r="E6" s="34"/>
      <c r="F6" s="33"/>
      <c r="G6" s="33"/>
      <c r="H6" s="33"/>
      <c r="I6" s="33"/>
      <c r="J6" s="33"/>
      <c r="K6" s="33"/>
      <c r="L6" s="33"/>
    </row>
    <row r="7" spans="1:18" x14ac:dyDescent="0.5">
      <c r="A7" s="33"/>
      <c r="B7" s="33"/>
      <c r="C7" s="34"/>
      <c r="D7" s="33"/>
      <c r="E7" s="34"/>
      <c r="F7" s="33"/>
      <c r="G7" s="33"/>
      <c r="H7" s="33"/>
      <c r="I7" s="33"/>
      <c r="J7" s="33"/>
      <c r="K7" s="33"/>
      <c r="L7" s="33"/>
    </row>
    <row r="8" spans="1:18" x14ac:dyDescent="0.5">
      <c r="A8" s="33"/>
      <c r="B8" s="33"/>
      <c r="C8" s="34"/>
      <c r="D8" s="33"/>
      <c r="E8" s="34"/>
      <c r="F8" s="33"/>
      <c r="G8" s="33"/>
      <c r="H8" s="33"/>
      <c r="I8" s="33"/>
      <c r="J8" s="33"/>
      <c r="K8" s="33"/>
      <c r="L8" s="33"/>
    </row>
    <row r="9" spans="1:18" x14ac:dyDescent="0.5">
      <c r="A9" s="33"/>
      <c r="B9" s="33"/>
      <c r="C9" s="34"/>
      <c r="D9" s="33"/>
      <c r="E9" s="34"/>
      <c r="F9" s="33"/>
      <c r="G9" s="33"/>
      <c r="H9" s="33"/>
      <c r="I9" s="33"/>
      <c r="J9" s="33"/>
      <c r="K9" s="33"/>
      <c r="L9" s="33"/>
    </row>
    <row r="10" spans="1:18" x14ac:dyDescent="0.5">
      <c r="A10" s="33"/>
      <c r="B10" s="33"/>
      <c r="C10" s="34"/>
      <c r="D10" s="33"/>
      <c r="E10" s="34"/>
      <c r="F10" s="33"/>
      <c r="G10" s="33"/>
      <c r="H10" s="33"/>
      <c r="I10" s="33"/>
      <c r="J10" s="33"/>
      <c r="K10" s="33"/>
      <c r="L10" s="33"/>
    </row>
    <row r="18" spans="2:6" ht="47.25" x14ac:dyDescent="0.5">
      <c r="B18" s="19" t="s">
        <v>31</v>
      </c>
      <c r="C18" s="23">
        <f>22/1000</f>
        <v>2.1999999999999999E-2</v>
      </c>
      <c r="D18" s="18"/>
      <c r="E18" s="20" t="s">
        <v>32</v>
      </c>
      <c r="F18" s="21">
        <f>SLOPE(L2:L4,K2:K4)</f>
        <v>-0.21393509112746381</v>
      </c>
    </row>
    <row r="19" spans="2:6" ht="47.25" x14ac:dyDescent="0.5">
      <c r="B19" s="22" t="s">
        <v>36</v>
      </c>
      <c r="C19" s="22">
        <v>4.4999999999999998E-2</v>
      </c>
      <c r="D19" s="18"/>
      <c r="E19" s="24" t="s">
        <v>33</v>
      </c>
      <c r="F19" s="25">
        <f>INTERCEPT(L2:L4,K2:K4)</f>
        <v>50.70916552549636</v>
      </c>
    </row>
    <row r="20" spans="2:6" x14ac:dyDescent="0.5">
      <c r="B20" s="22" t="s">
        <v>39</v>
      </c>
      <c r="C20" s="22">
        <f>4.1/1000</f>
        <v>4.0999999999999995E-3</v>
      </c>
      <c r="D20" s="18"/>
      <c r="E20" s="18"/>
      <c r="F20" s="18"/>
    </row>
    <row r="21" spans="2:6" x14ac:dyDescent="0.5">
      <c r="B21" s="18"/>
      <c r="C21" s="18"/>
      <c r="D21" s="18"/>
      <c r="E21" s="18"/>
      <c r="F21" s="18"/>
    </row>
    <row r="22" spans="2:6" x14ac:dyDescent="0.5">
      <c r="B22" s="18"/>
      <c r="C22" s="18"/>
      <c r="D22" s="18"/>
      <c r="E22" s="18"/>
      <c r="F22" s="18"/>
    </row>
    <row r="23" spans="2:6" x14ac:dyDescent="0.5">
      <c r="B23" s="18"/>
      <c r="C23" s="18"/>
      <c r="D23" s="18"/>
      <c r="E23" s="26" t="s">
        <v>34</v>
      </c>
      <c r="F23" s="38">
        <f>-1/(INTERCEPT(K2:K4,L2:L4))</f>
        <v>-4.2193905273808126E-3</v>
      </c>
    </row>
    <row r="24" spans="2:6" x14ac:dyDescent="0.5">
      <c r="B24" s="18"/>
      <c r="C24" s="18"/>
      <c r="D24" s="18"/>
      <c r="E24" s="28" t="s">
        <v>35</v>
      </c>
      <c r="F24" s="29">
        <f>1/F19</f>
        <v>1.9720300849699529E-2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F562-0484-7445-85B1-455C808CB940}">
  <dimension ref="A1:L18"/>
  <sheetViews>
    <sheetView tabSelected="1" zoomScale="47" workbookViewId="0">
      <selection activeCell="I1" sqref="I1:L5"/>
    </sheetView>
  </sheetViews>
  <sheetFormatPr defaultColWidth="11" defaultRowHeight="15.75" x14ac:dyDescent="0.5"/>
  <cols>
    <col min="1" max="1" width="12.75" bestFit="1" customWidth="1"/>
    <col min="2" max="2" width="12.8125" customWidth="1"/>
    <col min="3" max="3" width="16.1875" customWidth="1"/>
    <col min="5" max="5" width="18.6875" customWidth="1"/>
    <col min="6" max="6" width="15.4375" bestFit="1" customWidth="1"/>
    <col min="7" max="7" width="17.1875" customWidth="1"/>
    <col min="8" max="8" width="18.5" customWidth="1"/>
  </cols>
  <sheetData>
    <row r="1" spans="1:12" ht="31.5" x14ac:dyDescent="0.5">
      <c r="A1" s="13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30</v>
      </c>
    </row>
    <row r="2" spans="1:12" x14ac:dyDescent="0.5">
      <c r="A2" s="15">
        <v>1</v>
      </c>
      <c r="B2" s="16">
        <f>C15/C14</f>
        <v>108.93804640371229</v>
      </c>
      <c r="C2" s="16">
        <v>400</v>
      </c>
      <c r="D2" s="17">
        <v>100</v>
      </c>
      <c r="E2" s="16">
        <f>F2-(SUM(B2:D2))</f>
        <v>641.06195359628771</v>
      </c>
      <c r="F2" s="17">
        <v>1250</v>
      </c>
      <c r="G2" s="17">
        <f>($C$13*D2)/F2</f>
        <v>3.5999999999999999E-3</v>
      </c>
      <c r="H2" s="17">
        <f>($C$12*C2)/F2</f>
        <v>7.0399999999999994E-3</v>
      </c>
      <c r="I2" s="17">
        <v>-5.636E-2</v>
      </c>
      <c r="J2" s="17">
        <f t="shared" ref="J2" si="0">-I2</f>
        <v>5.636E-2</v>
      </c>
      <c r="K2" s="17">
        <f t="shared" ref="K2" si="1">1/H2</f>
        <v>142.04545454545456</v>
      </c>
      <c r="L2" s="17">
        <f t="shared" ref="L2" si="2">1/J2</f>
        <v>17.743080198722499</v>
      </c>
    </row>
    <row r="3" spans="1:12" x14ac:dyDescent="0.5">
      <c r="A3" s="15">
        <v>2</v>
      </c>
      <c r="B3" s="16">
        <f>B2</f>
        <v>108.93804640371229</v>
      </c>
      <c r="C3" s="16">
        <v>100</v>
      </c>
      <c r="D3" s="17">
        <v>100</v>
      </c>
      <c r="E3" s="16">
        <f t="shared" ref="E3" si="3">F3-(C3+D3+B3)</f>
        <v>941.06195359628771</v>
      </c>
      <c r="F3" s="17">
        <v>1250</v>
      </c>
      <c r="G3" s="17">
        <f>($C$13*D3)/F3</f>
        <v>3.5999999999999999E-3</v>
      </c>
      <c r="H3" s="17">
        <f>($C$12*C3)/F3</f>
        <v>1.7599999999999998E-3</v>
      </c>
      <c r="I3" s="17">
        <v>-4.3479999999999998E-2</v>
      </c>
      <c r="J3" s="17">
        <f t="shared" ref="J3" si="4">-I3</f>
        <v>4.3479999999999998E-2</v>
      </c>
      <c r="K3" s="17">
        <f t="shared" ref="K3" si="5">1/H3</f>
        <v>568.18181818181824</v>
      </c>
      <c r="L3" s="17">
        <f t="shared" ref="L3" si="6">1/J3</f>
        <v>22.999080036798528</v>
      </c>
    </row>
    <row r="4" spans="1:12" x14ac:dyDescent="0.5">
      <c r="A4" s="15">
        <v>3</v>
      </c>
      <c r="B4" s="16">
        <f>B2</f>
        <v>108.93804640371229</v>
      </c>
      <c r="C4" s="16">
        <v>50</v>
      </c>
      <c r="D4" s="17">
        <v>100</v>
      </c>
      <c r="E4" s="16">
        <f>F4-(C4+D4+B4)</f>
        <v>991.06195359628771</v>
      </c>
      <c r="F4" s="17">
        <v>1250</v>
      </c>
      <c r="G4" s="17">
        <f>($C$13*D4)/F4</f>
        <v>3.5999999999999999E-3</v>
      </c>
      <c r="H4" s="17">
        <f>($C$12*C4)/F4</f>
        <v>8.7999999999999992E-4</v>
      </c>
      <c r="I4" s="17">
        <v>-3.1800000000000002E-2</v>
      </c>
      <c r="J4" s="17">
        <f>-I4</f>
        <v>3.1800000000000002E-2</v>
      </c>
      <c r="K4" s="17">
        <f>1/H4</f>
        <v>1136.3636363636365</v>
      </c>
      <c r="L4" s="17">
        <f>1/J4</f>
        <v>31.446540880503143</v>
      </c>
    </row>
    <row r="5" spans="1:12" x14ac:dyDescent="0.5">
      <c r="A5" s="15">
        <v>4</v>
      </c>
      <c r="B5" s="16">
        <f>B2</f>
        <v>108.93804640371229</v>
      </c>
      <c r="C5" s="16">
        <v>25</v>
      </c>
      <c r="D5" s="17">
        <v>100</v>
      </c>
      <c r="E5" s="16">
        <f>F5-(C5+D5+B5)</f>
        <v>1016.0619535962877</v>
      </c>
      <c r="F5" s="17">
        <v>1250</v>
      </c>
      <c r="G5" s="39">
        <f>($C$13*D5)/F5</f>
        <v>3.5999999999999999E-3</v>
      </c>
      <c r="H5" s="17">
        <f>($C$12*C5)/F5</f>
        <v>4.3999999999999996E-4</v>
      </c>
      <c r="I5" s="17">
        <v>-1.014E-2</v>
      </c>
      <c r="J5" s="17">
        <f>-I5</f>
        <v>1.014E-2</v>
      </c>
      <c r="K5" s="17">
        <f>1/H5</f>
        <v>2272.727272727273</v>
      </c>
      <c r="L5" s="17">
        <f>1/J5</f>
        <v>98.619329388560161</v>
      </c>
    </row>
    <row r="6" spans="1:12" x14ac:dyDescent="0.5">
      <c r="A6" s="18"/>
      <c r="B6" s="18"/>
      <c r="C6" s="18"/>
      <c r="D6" s="18"/>
      <c r="E6" s="30"/>
      <c r="F6" s="18"/>
      <c r="G6" s="18"/>
      <c r="H6" s="18"/>
      <c r="I6" s="18"/>
      <c r="J6" s="18"/>
      <c r="K6" s="18"/>
      <c r="L6" s="18"/>
    </row>
    <row r="7" spans="1:12" x14ac:dyDescent="0.5">
      <c r="A7" s="18"/>
      <c r="B7" s="18"/>
      <c r="C7" s="18"/>
      <c r="D7" s="18"/>
      <c r="E7" s="18"/>
      <c r="F7" s="18"/>
      <c r="G7" s="18"/>
      <c r="H7" s="18" t="s">
        <v>38</v>
      </c>
      <c r="I7" s="18"/>
      <c r="J7" s="18"/>
      <c r="K7" s="18"/>
      <c r="L7" s="18"/>
    </row>
    <row r="8" spans="1:12" x14ac:dyDescent="0.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x14ac:dyDescent="0.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spans="1:12" x14ac:dyDescent="0.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x14ac:dyDescent="0.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ht="63" x14ac:dyDescent="0.5">
      <c r="A12" s="18"/>
      <c r="B12" s="19" t="s">
        <v>31</v>
      </c>
      <c r="C12" s="23">
        <f>22/1000</f>
        <v>2.1999999999999999E-2</v>
      </c>
      <c r="D12" s="18"/>
      <c r="E12" s="20" t="s">
        <v>32</v>
      </c>
      <c r="F12" s="21">
        <f>SLOPE(L2:L4,K2:K4)</f>
        <v>1.3840456166716726E-2</v>
      </c>
      <c r="G12" s="18"/>
      <c r="H12" s="18"/>
      <c r="I12" s="18"/>
      <c r="J12" s="18"/>
      <c r="K12" s="18"/>
      <c r="L12" s="18"/>
    </row>
    <row r="13" spans="1:12" ht="47.25" x14ac:dyDescent="0.5">
      <c r="A13" s="18"/>
      <c r="B13" s="22" t="s">
        <v>36</v>
      </c>
      <c r="C13" s="23">
        <v>4.4999999999999998E-2</v>
      </c>
      <c r="D13" s="18"/>
      <c r="E13" s="24" t="s">
        <v>54</v>
      </c>
      <c r="F13" s="25">
        <f>INTERCEPT(L2:L5,K2:K5)</f>
        <v>2.6132097622183394</v>
      </c>
      <c r="G13" s="18"/>
      <c r="H13" s="18"/>
      <c r="I13" s="18"/>
      <c r="J13" s="18"/>
      <c r="K13" s="18"/>
      <c r="L13" s="18"/>
    </row>
    <row r="14" spans="1:12" ht="31.5" x14ac:dyDescent="0.5">
      <c r="A14" s="18"/>
      <c r="B14" s="22" t="s">
        <v>42</v>
      </c>
      <c r="C14" s="22">
        <f>((43.1)/(15))/763.452</f>
        <v>3.7636070549731137E-3</v>
      </c>
      <c r="D14" s="18"/>
      <c r="E14" s="24" t="s">
        <v>55</v>
      </c>
      <c r="F14" s="25">
        <f>(-1*INTERCEPT(L2:L5, K2:K5))/SLOPE(L2:L5, K2:K5)</f>
        <v>-67.129990545918147</v>
      </c>
      <c r="G14" s="18"/>
      <c r="H14" s="18"/>
      <c r="I14" s="18"/>
      <c r="J14" s="18"/>
      <c r="K14" s="18"/>
      <c r="L14" s="18"/>
    </row>
    <row r="15" spans="1:12" ht="31.5" x14ac:dyDescent="0.5">
      <c r="A15" s="18"/>
      <c r="B15" s="22" t="s">
        <v>40</v>
      </c>
      <c r="C15" s="22">
        <f>(100)*0.0041</f>
        <v>0.41000000000000003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5">
      <c r="A17" s="18"/>
      <c r="B17" s="18"/>
      <c r="C17" s="18"/>
      <c r="D17" s="18"/>
      <c r="E17" s="26" t="s">
        <v>34</v>
      </c>
      <c r="F17" s="40">
        <f>-1/F14</f>
        <v>1.489647163462628E-2</v>
      </c>
      <c r="G17" s="18"/>
      <c r="H17" s="18"/>
      <c r="I17" s="18"/>
      <c r="J17" s="18"/>
      <c r="K17" s="18"/>
      <c r="L17" s="18"/>
    </row>
    <row r="18" spans="1:12" x14ac:dyDescent="0.5">
      <c r="A18" s="18"/>
      <c r="B18" s="18"/>
      <c r="C18" s="18"/>
      <c r="D18" s="18"/>
      <c r="E18" s="28" t="s">
        <v>35</v>
      </c>
      <c r="F18" s="29">
        <f>1/F13</f>
        <v>0.38267115577859523</v>
      </c>
      <c r="G18" s="18"/>
      <c r="H18" s="18"/>
      <c r="I18" s="18"/>
      <c r="J18" s="18"/>
      <c r="K18" s="18"/>
      <c r="L18" s="1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A587-EAFF-584C-9A30-4370BEF50E29}">
  <dimension ref="A1:N24"/>
  <sheetViews>
    <sheetView topLeftCell="C1" zoomScale="57" zoomScaleNormal="85" workbookViewId="0">
      <selection activeCell="K1" sqref="K1:N5"/>
    </sheetView>
  </sheetViews>
  <sheetFormatPr defaultColWidth="11" defaultRowHeight="15.75" x14ac:dyDescent="0.5"/>
  <cols>
    <col min="1" max="1" width="12.625" bestFit="1" customWidth="1"/>
    <col min="2" max="2" width="14" customWidth="1"/>
    <col min="3" max="3" width="12.8125" customWidth="1"/>
    <col min="4" max="4" width="12.125" customWidth="1"/>
    <col min="6" max="6" width="14.9375" customWidth="1"/>
    <col min="7" max="7" width="15.3125" bestFit="1" customWidth="1"/>
    <col min="8" max="8" width="14.3125" customWidth="1"/>
    <col min="9" max="9" width="16.625" bestFit="1" customWidth="1"/>
    <col min="10" max="10" width="13.5625" customWidth="1"/>
  </cols>
  <sheetData>
    <row r="1" spans="1:14" ht="47.25" x14ac:dyDescent="0.5">
      <c r="A1" s="13" t="s">
        <v>19</v>
      </c>
      <c r="B1" s="14" t="s">
        <v>41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44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</row>
    <row r="2" spans="1:14" x14ac:dyDescent="0.5">
      <c r="A2" s="15">
        <v>1</v>
      </c>
      <c r="B2" s="16">
        <f>($H$2*G2)/$D$22</f>
        <v>43.999999999999993</v>
      </c>
      <c r="C2" s="16">
        <f>D21/D20</f>
        <v>108.93804640371229</v>
      </c>
      <c r="D2" s="16">
        <v>400</v>
      </c>
      <c r="E2" s="17">
        <v>100</v>
      </c>
      <c r="F2" s="16">
        <f>G2-(B2+D2+E2+C2)</f>
        <v>597.06195359628771</v>
      </c>
      <c r="G2" s="17">
        <v>1250</v>
      </c>
      <c r="H2" s="17">
        <f>0.5*$J$2</f>
        <v>3.5199999999999997E-3</v>
      </c>
      <c r="I2" s="17">
        <f t="shared" ref="I2:I5" si="0">($D$19*E2)/G2</f>
        <v>3.5999999999999999E-3</v>
      </c>
      <c r="J2" s="17">
        <f>($D$18*D2)/G2</f>
        <v>7.0399999999999994E-3</v>
      </c>
      <c r="K2" s="17">
        <v>-2.1520000000000001E-2</v>
      </c>
      <c r="L2" s="17">
        <f t="shared" ref="L2:L5" si="1">-K2</f>
        <v>2.1520000000000001E-2</v>
      </c>
      <c r="M2" s="17">
        <f>1/J2</f>
        <v>142.04545454545456</v>
      </c>
      <c r="N2" s="17">
        <f>1/L2</f>
        <v>46.468401486988846</v>
      </c>
    </row>
    <row r="3" spans="1:14" x14ac:dyDescent="0.5">
      <c r="A3" s="15">
        <v>2</v>
      </c>
      <c r="B3" s="16">
        <f t="shared" ref="B3:B5" si="2">($H$2*G3)/$D$22</f>
        <v>43.999999999999993</v>
      </c>
      <c r="C3" s="16">
        <f>C2</f>
        <v>108.93804640371229</v>
      </c>
      <c r="D3" s="16">
        <v>100</v>
      </c>
      <c r="E3" s="17">
        <v>100</v>
      </c>
      <c r="F3" s="16">
        <f>G3-(B3+D3+E3+C3)</f>
        <v>897.06195359628771</v>
      </c>
      <c r="G3" s="17">
        <v>1250</v>
      </c>
      <c r="H3" s="17">
        <f t="shared" ref="H3:H5" si="3">0.5*$J$2</f>
        <v>3.5199999999999997E-3</v>
      </c>
      <c r="I3" s="17">
        <f t="shared" si="0"/>
        <v>3.5999999999999999E-3</v>
      </c>
      <c r="J3" s="17">
        <f t="shared" ref="J3:J5" si="4">($D$18*D3)/G3</f>
        <v>1.7599999999999998E-3</v>
      </c>
      <c r="K3" s="17">
        <v>-8.3250000000000008E-3</v>
      </c>
      <c r="L3" s="17">
        <f t="shared" si="1"/>
        <v>8.3250000000000008E-3</v>
      </c>
      <c r="M3" s="17">
        <f t="shared" ref="M3:M5" si="5">1/J3</f>
        <v>568.18181818181824</v>
      </c>
      <c r="N3" s="17">
        <f t="shared" ref="N3:N5" si="6">1/L3</f>
        <v>120.12012012012011</v>
      </c>
    </row>
    <row r="4" spans="1:14" x14ac:dyDescent="0.5">
      <c r="A4" s="15">
        <v>3</v>
      </c>
      <c r="B4" s="16">
        <f t="shared" si="2"/>
        <v>43.999999999999993</v>
      </c>
      <c r="C4" s="16">
        <f t="shared" ref="C4:C5" si="7">C3</f>
        <v>108.93804640371229</v>
      </c>
      <c r="D4" s="16">
        <v>50</v>
      </c>
      <c r="E4" s="17">
        <v>100</v>
      </c>
      <c r="F4" s="16">
        <f t="shared" ref="F4:F5" si="8">G4-(B4+D4+E4+C4)</f>
        <v>947.06195359628771</v>
      </c>
      <c r="G4" s="17">
        <v>1250</v>
      </c>
      <c r="H4" s="17">
        <f t="shared" si="3"/>
        <v>3.5199999999999997E-3</v>
      </c>
      <c r="I4" s="17">
        <f t="shared" si="0"/>
        <v>3.5999999999999999E-3</v>
      </c>
      <c r="J4" s="17">
        <f t="shared" si="4"/>
        <v>8.7999999999999992E-4</v>
      </c>
      <c r="K4" s="17">
        <v>-4.4099999999999999E-3</v>
      </c>
      <c r="L4" s="17">
        <f t="shared" si="1"/>
        <v>4.4099999999999999E-3</v>
      </c>
      <c r="M4" s="17">
        <f t="shared" si="5"/>
        <v>1136.3636363636365</v>
      </c>
      <c r="N4" s="17">
        <f t="shared" si="6"/>
        <v>226.75736961451247</v>
      </c>
    </row>
    <row r="5" spans="1:14" ht="19.05" customHeight="1" x14ac:dyDescent="0.5">
      <c r="A5" s="15">
        <v>4</v>
      </c>
      <c r="B5" s="16">
        <f t="shared" si="2"/>
        <v>43.999999999999993</v>
      </c>
      <c r="C5" s="16">
        <f t="shared" si="7"/>
        <v>108.93804640371229</v>
      </c>
      <c r="D5" s="16">
        <v>25</v>
      </c>
      <c r="E5" s="17">
        <v>100</v>
      </c>
      <c r="F5" s="16">
        <f t="shared" si="8"/>
        <v>972.06195359628771</v>
      </c>
      <c r="G5" s="17">
        <v>1250</v>
      </c>
      <c r="H5" s="17">
        <f t="shared" si="3"/>
        <v>3.5199999999999997E-3</v>
      </c>
      <c r="I5" s="17">
        <f t="shared" si="0"/>
        <v>3.5999999999999999E-3</v>
      </c>
      <c r="J5" s="17">
        <f t="shared" si="4"/>
        <v>4.3999999999999996E-4</v>
      </c>
      <c r="K5" s="17">
        <v>-2.2239999999999998E-3</v>
      </c>
      <c r="L5" s="17">
        <f t="shared" si="1"/>
        <v>2.2239999999999998E-3</v>
      </c>
      <c r="M5" s="17">
        <f t="shared" si="5"/>
        <v>2272.727272727273</v>
      </c>
      <c r="N5" s="17">
        <f t="shared" si="6"/>
        <v>449.64028776978421</v>
      </c>
    </row>
    <row r="6" spans="1:14" x14ac:dyDescent="0.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4" x14ac:dyDescent="0.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4" x14ac:dyDescent="0.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4" x14ac:dyDescent="0.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4" x14ac:dyDescent="0.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4" x14ac:dyDescent="0.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4" x14ac:dyDescent="0.5">
      <c r="A12" s="18"/>
      <c r="B12" s="18"/>
      <c r="C12" s="18"/>
      <c r="D12" s="18"/>
      <c r="E12" s="18"/>
      <c r="F12" s="30"/>
      <c r="G12" s="18"/>
      <c r="H12" s="18"/>
      <c r="I12" s="18"/>
      <c r="J12" s="18"/>
      <c r="K12" s="18"/>
      <c r="L12" s="18"/>
      <c r="M12" s="18"/>
      <c r="N12" s="18"/>
    </row>
    <row r="13" spans="1:14" x14ac:dyDescent="0.5">
      <c r="A13" s="18"/>
      <c r="B13" s="18"/>
      <c r="C13" s="18"/>
      <c r="D13" s="18"/>
      <c r="E13" s="18"/>
      <c r="F13" s="18"/>
      <c r="G13" s="18"/>
      <c r="H13" s="18"/>
      <c r="I13" s="18"/>
      <c r="J13" s="18" t="s">
        <v>38</v>
      </c>
      <c r="K13" s="18"/>
      <c r="L13" s="18"/>
      <c r="M13" s="18"/>
      <c r="N13" s="18"/>
    </row>
    <row r="14" spans="1:14" x14ac:dyDescent="0.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x14ac:dyDescent="0.5">
      <c r="A15" s="18"/>
      <c r="B15" s="18"/>
      <c r="C15" s="18"/>
      <c r="D15" s="18"/>
      <c r="E15" s="18"/>
      <c r="F15" s="18"/>
      <c r="G15" s="18"/>
      <c r="J15" s="18"/>
      <c r="K15" s="18"/>
      <c r="L15" s="18"/>
      <c r="M15" s="18"/>
      <c r="N15" s="18"/>
    </row>
    <row r="16" spans="1:14" x14ac:dyDescent="0.5">
      <c r="A16" s="18"/>
      <c r="B16" s="18"/>
      <c r="C16" s="18"/>
      <c r="D16" s="18"/>
      <c r="E16" s="18"/>
      <c r="F16" s="18"/>
      <c r="G16" s="18"/>
      <c r="J16" s="18"/>
      <c r="K16" s="18"/>
      <c r="L16" s="18"/>
      <c r="M16" s="18"/>
      <c r="N16" s="18"/>
    </row>
    <row r="17" spans="1:14" x14ac:dyDescent="0.5">
      <c r="A17" s="18"/>
      <c r="B17" s="18"/>
      <c r="C17" s="18"/>
      <c r="D17" s="18"/>
      <c r="E17" s="18"/>
      <c r="F17" s="18"/>
      <c r="G17" s="18"/>
      <c r="J17" s="18"/>
      <c r="K17" s="18"/>
      <c r="L17" s="18"/>
      <c r="M17" s="18"/>
      <c r="N17" s="18"/>
    </row>
    <row r="18" spans="1:14" ht="63" x14ac:dyDescent="0.5">
      <c r="A18" s="18"/>
      <c r="B18" s="18"/>
      <c r="C18" s="19" t="s">
        <v>31</v>
      </c>
      <c r="D18" s="19">
        <f>22/1000</f>
        <v>2.1999999999999999E-2</v>
      </c>
      <c r="E18" s="18"/>
      <c r="F18" s="20" t="s">
        <v>32</v>
      </c>
      <c r="G18" s="21">
        <f>SLOPE(N2:N10,M2:M10)</f>
        <v>0.1901551291866467</v>
      </c>
      <c r="J18" s="18"/>
      <c r="K18" s="18"/>
      <c r="L18" s="18"/>
      <c r="M18" s="18"/>
      <c r="N18" s="18"/>
    </row>
    <row r="19" spans="1:14" ht="47.25" x14ac:dyDescent="0.5">
      <c r="A19" s="18"/>
      <c r="B19" s="18"/>
      <c r="C19" s="22" t="s">
        <v>36</v>
      </c>
      <c r="D19" s="23">
        <v>4.4999999999999998E-2</v>
      </c>
      <c r="E19" s="18"/>
      <c r="F19" s="24" t="s">
        <v>54</v>
      </c>
      <c r="G19" s="25">
        <f>INTERCEPT(N2:N10,M2:M10)</f>
        <v>14.91917449171666</v>
      </c>
      <c r="J19" s="18"/>
      <c r="K19" s="18"/>
      <c r="L19" s="18"/>
      <c r="M19" s="18"/>
      <c r="N19" s="18"/>
    </row>
    <row r="20" spans="1:14" ht="47.25" x14ac:dyDescent="0.5">
      <c r="A20" s="18"/>
      <c r="B20" s="18"/>
      <c r="C20" s="22" t="s">
        <v>42</v>
      </c>
      <c r="D20" s="22">
        <f>((43.1)/(15))/763.452</f>
        <v>3.7636070549731137E-3</v>
      </c>
      <c r="E20" s="18"/>
      <c r="F20" s="24" t="s">
        <v>55</v>
      </c>
      <c r="G20" s="25">
        <f>(-1*INTERCEPT(N2:N5, M2:M5))/SLOPE(N2:N5, M2:M5)</f>
        <v>-78.457912524004286</v>
      </c>
      <c r="J20" s="18"/>
      <c r="K20" s="18"/>
      <c r="L20" s="18"/>
      <c r="M20" s="18"/>
      <c r="N20" s="18"/>
    </row>
    <row r="21" spans="1:14" ht="31.5" x14ac:dyDescent="0.5">
      <c r="A21" s="18"/>
      <c r="B21" s="18"/>
      <c r="C21" s="22" t="s">
        <v>40</v>
      </c>
      <c r="D21" s="22">
        <f>(100)*0.0041</f>
        <v>0.41000000000000003</v>
      </c>
      <c r="E21" s="18"/>
      <c r="F21" s="18"/>
      <c r="G21" s="18"/>
      <c r="J21" s="18"/>
      <c r="K21" s="18"/>
      <c r="L21" s="18"/>
      <c r="M21" s="18"/>
      <c r="N21" s="18"/>
    </row>
    <row r="22" spans="1:14" ht="47.25" x14ac:dyDescent="0.5">
      <c r="A22" s="18"/>
      <c r="B22" s="18"/>
      <c r="C22" s="22" t="s">
        <v>43</v>
      </c>
      <c r="D22" s="22">
        <v>0.1</v>
      </c>
      <c r="E22" s="18"/>
      <c r="F22" s="18"/>
      <c r="G22" s="18"/>
      <c r="J22" s="18"/>
      <c r="K22" s="18"/>
      <c r="L22" s="18"/>
      <c r="M22" s="18"/>
      <c r="N22" s="18"/>
    </row>
    <row r="23" spans="1:14" x14ac:dyDescent="0.5">
      <c r="A23" s="18"/>
      <c r="B23" s="18"/>
      <c r="C23" s="18"/>
      <c r="D23" s="18"/>
      <c r="E23" s="18"/>
      <c r="F23" s="26" t="s">
        <v>34</v>
      </c>
      <c r="G23" s="27">
        <f>-1/G20</f>
        <v>1.2745687054751155E-2</v>
      </c>
      <c r="J23" s="18"/>
      <c r="K23" s="18"/>
      <c r="L23" s="18"/>
      <c r="M23" s="18"/>
      <c r="N23" s="18"/>
    </row>
    <row r="24" spans="1:14" x14ac:dyDescent="0.5">
      <c r="A24" s="18"/>
      <c r="B24" s="18"/>
      <c r="C24" s="18"/>
      <c r="D24" s="18"/>
      <c r="E24" s="18"/>
      <c r="F24" s="28" t="s">
        <v>35</v>
      </c>
      <c r="G24" s="29">
        <f>1/G19</f>
        <v>6.7027837267753271E-2</v>
      </c>
      <c r="J24" s="18"/>
      <c r="K24" s="18"/>
      <c r="L24" s="18"/>
      <c r="M24" s="18"/>
      <c r="N24" s="1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F875-6FFF-6749-8E6F-FB62CF784995}">
  <dimension ref="A1:N24"/>
  <sheetViews>
    <sheetView topLeftCell="E1" zoomScale="51" zoomScaleNormal="135" workbookViewId="0">
      <selection activeCell="K1" sqref="K1:N5"/>
    </sheetView>
  </sheetViews>
  <sheetFormatPr defaultColWidth="11" defaultRowHeight="15.75" x14ac:dyDescent="0.5"/>
  <cols>
    <col min="1" max="1" width="12.625" bestFit="1" customWidth="1"/>
    <col min="2" max="2" width="14" customWidth="1"/>
    <col min="3" max="3" width="12.8125" customWidth="1"/>
    <col min="4" max="4" width="16.1875" customWidth="1"/>
    <col min="6" max="6" width="18.6875" customWidth="1"/>
    <col min="7" max="7" width="20.3125" customWidth="1"/>
    <col min="8" max="8" width="14.3125" customWidth="1"/>
    <col min="9" max="9" width="17.1875" customWidth="1"/>
    <col min="10" max="10" width="18.5" customWidth="1"/>
  </cols>
  <sheetData>
    <row r="1" spans="1:14" ht="47.25" x14ac:dyDescent="0.5">
      <c r="A1" s="13" t="s">
        <v>19</v>
      </c>
      <c r="B1" s="14" t="s">
        <v>41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44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</row>
    <row r="2" spans="1:14" x14ac:dyDescent="0.5">
      <c r="A2" s="15">
        <v>1</v>
      </c>
      <c r="B2" s="16">
        <f>($H$2*G2)/$D$22</f>
        <v>26.399999999999995</v>
      </c>
      <c r="C2" s="16">
        <f>D21/D20</f>
        <v>108.93804640371229</v>
      </c>
      <c r="D2" s="16">
        <v>400</v>
      </c>
      <c r="E2" s="17">
        <v>100</v>
      </c>
      <c r="F2" s="16">
        <f>G2-(B2+D2+E2+C2)</f>
        <v>614.66195359628773</v>
      </c>
      <c r="G2" s="17">
        <v>1250</v>
      </c>
      <c r="H2" s="17">
        <f>0.3*$J$2</f>
        <v>2.1119999999999997E-3</v>
      </c>
      <c r="I2" s="17">
        <f t="shared" ref="I2:I5" si="0">($D$19*E2)/G2</f>
        <v>3.5999999999999999E-3</v>
      </c>
      <c r="J2" s="17">
        <f>($D$18*D2)/G2</f>
        <v>7.0399999999999994E-3</v>
      </c>
      <c r="K2" s="17">
        <v>-1.2829999999999999E-2</v>
      </c>
      <c r="L2" s="17">
        <f t="shared" ref="L2:L5" si="1">-K2</f>
        <v>1.2829999999999999E-2</v>
      </c>
      <c r="M2" s="17">
        <f>1/J2</f>
        <v>142.04545454545456</v>
      </c>
      <c r="N2" s="17">
        <f>1/L2</f>
        <v>77.942322681215899</v>
      </c>
    </row>
    <row r="3" spans="1:14" x14ac:dyDescent="0.5">
      <c r="A3" s="15">
        <v>2</v>
      </c>
      <c r="B3" s="16">
        <f t="shared" ref="B3:B5" si="2">($H$2*G3)/$D$22</f>
        <v>26.399999999999995</v>
      </c>
      <c r="C3" s="16">
        <f>C2</f>
        <v>108.93804640371229</v>
      </c>
      <c r="D3" s="16">
        <v>100</v>
      </c>
      <c r="E3" s="17">
        <v>100</v>
      </c>
      <c r="F3" s="16">
        <f>G3-(B3+D3+E3+C3)</f>
        <v>914.66195359628773</v>
      </c>
      <c r="G3" s="17">
        <v>1250</v>
      </c>
      <c r="H3" s="17">
        <f t="shared" ref="H3:H5" si="3">0.3*$J$2</f>
        <v>2.1119999999999997E-3</v>
      </c>
      <c r="I3" s="17">
        <f t="shared" si="0"/>
        <v>3.5999999999999999E-3</v>
      </c>
      <c r="J3" s="17">
        <f t="shared" ref="J3:J5" si="4">($D$18*D3)/G3</f>
        <v>1.7599999999999998E-3</v>
      </c>
      <c r="K3" s="17">
        <v>-1.128E-2</v>
      </c>
      <c r="L3" s="17">
        <f t="shared" si="1"/>
        <v>1.128E-2</v>
      </c>
      <c r="M3" s="17">
        <f t="shared" ref="M3:M5" si="5">1/J3</f>
        <v>568.18181818181824</v>
      </c>
      <c r="N3" s="17">
        <f t="shared" ref="N3:N5" si="6">1/L3</f>
        <v>88.652482269503551</v>
      </c>
    </row>
    <row r="4" spans="1:14" x14ac:dyDescent="0.5">
      <c r="A4" s="15">
        <v>3</v>
      </c>
      <c r="B4" s="16">
        <f t="shared" si="2"/>
        <v>26.399999999999995</v>
      </c>
      <c r="C4" s="16">
        <f t="shared" ref="C4:C5" si="7">C3</f>
        <v>108.93804640371229</v>
      </c>
      <c r="D4" s="16">
        <v>50</v>
      </c>
      <c r="E4" s="17">
        <v>100</v>
      </c>
      <c r="F4" s="16">
        <f t="shared" ref="F4:F5" si="8">G4-(B4+D4+E4+C4)</f>
        <v>964.66195359628773</v>
      </c>
      <c r="G4" s="17">
        <v>1250</v>
      </c>
      <c r="H4" s="17">
        <f t="shared" si="3"/>
        <v>2.1119999999999997E-3</v>
      </c>
      <c r="I4" s="17">
        <f t="shared" si="0"/>
        <v>3.5999999999999999E-3</v>
      </c>
      <c r="J4" s="17">
        <f t="shared" si="4"/>
        <v>8.7999999999999992E-4</v>
      </c>
      <c r="K4" s="17">
        <v>-6.8190000000000004E-3</v>
      </c>
      <c r="L4" s="17">
        <f t="shared" si="1"/>
        <v>6.8190000000000004E-3</v>
      </c>
      <c r="M4" s="17">
        <f>1/J4</f>
        <v>1136.3636363636365</v>
      </c>
      <c r="N4" s="17">
        <f t="shared" si="6"/>
        <v>146.64906877841324</v>
      </c>
    </row>
    <row r="5" spans="1:14" ht="19.05" customHeight="1" x14ac:dyDescent="0.5">
      <c r="A5" s="15">
        <v>4</v>
      </c>
      <c r="B5" s="16">
        <f t="shared" si="2"/>
        <v>26.399999999999995</v>
      </c>
      <c r="C5" s="16">
        <f t="shared" si="7"/>
        <v>108.93804640371229</v>
      </c>
      <c r="D5" s="16">
        <v>25</v>
      </c>
      <c r="E5" s="17">
        <v>100</v>
      </c>
      <c r="F5" s="16">
        <f t="shared" si="8"/>
        <v>989.66195359628773</v>
      </c>
      <c r="G5" s="17">
        <v>1250</v>
      </c>
      <c r="H5" s="17">
        <f t="shared" si="3"/>
        <v>2.1119999999999997E-3</v>
      </c>
      <c r="I5" s="17">
        <f t="shared" si="0"/>
        <v>3.5999999999999999E-3</v>
      </c>
      <c r="J5" s="17">
        <f t="shared" si="4"/>
        <v>4.3999999999999996E-4</v>
      </c>
      <c r="K5" s="17">
        <v>-6.1260000000000004E-3</v>
      </c>
      <c r="L5" s="17">
        <f t="shared" si="1"/>
        <v>6.1260000000000004E-3</v>
      </c>
      <c r="M5" s="17">
        <f t="shared" si="5"/>
        <v>2272.727272727273</v>
      </c>
      <c r="N5" s="17">
        <f t="shared" si="6"/>
        <v>163.23865491348351</v>
      </c>
    </row>
    <row r="6" spans="1:14" x14ac:dyDescent="0.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4" x14ac:dyDescent="0.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4" x14ac:dyDescent="0.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4" x14ac:dyDescent="0.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4" x14ac:dyDescent="0.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4" x14ac:dyDescent="0.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4" x14ac:dyDescent="0.5">
      <c r="A12" s="18"/>
      <c r="B12" s="18"/>
      <c r="C12" s="18"/>
      <c r="D12" s="18"/>
      <c r="E12" s="18"/>
      <c r="F12" s="30"/>
      <c r="G12" s="18"/>
      <c r="H12" s="18"/>
      <c r="I12" s="18"/>
      <c r="J12" s="18"/>
      <c r="K12" s="18"/>
      <c r="L12" s="18"/>
      <c r="M12" s="18"/>
      <c r="N12" s="18"/>
    </row>
    <row r="13" spans="1:14" x14ac:dyDescent="0.5">
      <c r="A13" s="18"/>
      <c r="B13" s="18"/>
      <c r="C13" s="18"/>
      <c r="D13" s="18"/>
      <c r="E13" s="18"/>
      <c r="F13" s="18"/>
      <c r="G13" s="18"/>
      <c r="H13" s="18"/>
      <c r="I13" s="18"/>
      <c r="J13" s="18" t="s">
        <v>38</v>
      </c>
      <c r="K13" s="18"/>
      <c r="L13" s="18"/>
      <c r="M13" s="18"/>
      <c r="N13" s="18"/>
    </row>
    <row r="14" spans="1:14" x14ac:dyDescent="0.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x14ac:dyDescent="0.5">
      <c r="A15" s="18"/>
      <c r="B15" s="18"/>
      <c r="C15" s="18"/>
      <c r="D15" s="18"/>
      <c r="E15" s="18"/>
      <c r="F15" s="18"/>
      <c r="G15" s="18"/>
      <c r="J15" s="18"/>
      <c r="K15" s="18"/>
      <c r="L15" s="18"/>
      <c r="M15" s="18"/>
      <c r="N15" s="18"/>
    </row>
    <row r="16" spans="1:14" x14ac:dyDescent="0.5">
      <c r="A16" s="18"/>
      <c r="B16" s="18"/>
      <c r="C16" s="18"/>
      <c r="D16" s="18"/>
      <c r="E16" s="18"/>
      <c r="F16" s="18"/>
      <c r="G16" s="18"/>
      <c r="J16" s="18"/>
      <c r="K16" s="18"/>
      <c r="L16" s="18"/>
      <c r="M16" s="18"/>
      <c r="N16" s="18"/>
    </row>
    <row r="17" spans="1:14" x14ac:dyDescent="0.5">
      <c r="A17" s="18"/>
      <c r="B17" s="18"/>
      <c r="C17" s="18"/>
      <c r="D17" s="18"/>
      <c r="E17" s="18"/>
      <c r="F17" s="18"/>
      <c r="G17" s="18"/>
      <c r="J17" s="18"/>
      <c r="K17" s="18"/>
      <c r="L17" s="18"/>
      <c r="M17" s="18"/>
      <c r="N17" s="18"/>
    </row>
    <row r="18" spans="1:14" ht="63" x14ac:dyDescent="0.5">
      <c r="A18" s="18"/>
      <c r="B18" s="18"/>
      <c r="C18" s="19" t="s">
        <v>31</v>
      </c>
      <c r="D18" s="19">
        <f>22/1000</f>
        <v>2.1999999999999999E-2</v>
      </c>
      <c r="E18" s="18"/>
      <c r="F18" s="20" t="s">
        <v>32</v>
      </c>
      <c r="G18" s="21">
        <f>SLOPE(N2:N10,M2:M10)</f>
        <v>4.2382463380835227E-2</v>
      </c>
      <c r="J18" s="18"/>
      <c r="K18" s="18"/>
      <c r="L18" s="18"/>
      <c r="M18" s="18"/>
      <c r="N18" s="18"/>
    </row>
    <row r="19" spans="1:14" ht="47.25" x14ac:dyDescent="0.5">
      <c r="A19" s="18"/>
      <c r="B19" s="18"/>
      <c r="C19" s="22" t="s">
        <v>36</v>
      </c>
      <c r="D19" s="23">
        <v>4.4999999999999998E-2</v>
      </c>
      <c r="E19" s="18"/>
      <c r="F19" s="24" t="s">
        <v>54</v>
      </c>
      <c r="G19" s="25">
        <f>INTERCEPT(N2:N10,M2:M10)</f>
        <v>75.473919161924584</v>
      </c>
      <c r="J19" s="18"/>
      <c r="K19" s="18"/>
      <c r="L19" s="18"/>
      <c r="M19" s="18"/>
      <c r="N19" s="18"/>
    </row>
    <row r="20" spans="1:14" ht="31.5" x14ac:dyDescent="0.5">
      <c r="A20" s="18"/>
      <c r="B20" s="18"/>
      <c r="C20" s="22" t="s">
        <v>42</v>
      </c>
      <c r="D20" s="22">
        <f>((43.1)/(15))/763.452</f>
        <v>3.7636070549731137E-3</v>
      </c>
      <c r="E20" s="18"/>
      <c r="F20" s="24" t="s">
        <v>55</v>
      </c>
      <c r="G20" s="25">
        <f>(-1*INTERCEPT(N2:N5, M2:M5))/SLOPE(N2:N5, M2:M5)</f>
        <v>-1780.7817937277534</v>
      </c>
      <c r="J20" s="18"/>
      <c r="K20" s="18"/>
      <c r="L20" s="18"/>
      <c r="M20" s="18"/>
      <c r="N20" s="18"/>
    </row>
    <row r="21" spans="1:14" ht="31.5" x14ac:dyDescent="0.5">
      <c r="A21" s="18"/>
      <c r="B21" s="18"/>
      <c r="C21" s="22" t="s">
        <v>40</v>
      </c>
      <c r="D21" s="22">
        <f>(100)*0.0041</f>
        <v>0.41000000000000003</v>
      </c>
      <c r="E21" s="18"/>
      <c r="F21" s="18"/>
      <c r="G21" s="18"/>
      <c r="J21" s="18"/>
      <c r="K21" s="18"/>
      <c r="L21" s="18"/>
      <c r="M21" s="18"/>
      <c r="N21" s="18"/>
    </row>
    <row r="22" spans="1:14" ht="47.25" x14ac:dyDescent="0.5">
      <c r="A22" s="18"/>
      <c r="B22" s="18"/>
      <c r="C22" s="22" t="s">
        <v>43</v>
      </c>
      <c r="D22" s="22">
        <v>0.1</v>
      </c>
      <c r="E22" s="18"/>
      <c r="F22" s="18"/>
      <c r="G22" s="18"/>
      <c r="J22" s="18"/>
      <c r="K22" s="18"/>
      <c r="L22" s="18"/>
      <c r="M22" s="18"/>
      <c r="N22" s="18"/>
    </row>
    <row r="23" spans="1:14" x14ac:dyDescent="0.5">
      <c r="A23" s="18"/>
      <c r="B23" s="18"/>
      <c r="C23" s="18"/>
      <c r="D23" s="18"/>
      <c r="E23" s="18"/>
      <c r="F23" s="26" t="s">
        <v>34</v>
      </c>
      <c r="G23" s="38">
        <f>-1/G20</f>
        <v>5.6155111396701549E-4</v>
      </c>
      <c r="J23" s="18"/>
      <c r="K23" s="18"/>
      <c r="L23" s="18"/>
      <c r="M23" s="18"/>
      <c r="N23" s="18"/>
    </row>
    <row r="24" spans="1:14" x14ac:dyDescent="0.5">
      <c r="A24" s="18"/>
      <c r="B24" s="18"/>
      <c r="C24" s="18"/>
      <c r="D24" s="18"/>
      <c r="E24" s="18"/>
      <c r="F24" s="28" t="s">
        <v>35</v>
      </c>
      <c r="G24" s="29">
        <f>1/G19</f>
        <v>1.324961007860957E-2</v>
      </c>
      <c r="J24" s="18"/>
      <c r="K24" s="18"/>
      <c r="L24" s="18"/>
      <c r="M24" s="18"/>
      <c r="N24" s="1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0998-EBEF-C340-BC08-56B4C8F26F7A}">
  <dimension ref="A1:N24"/>
  <sheetViews>
    <sheetView topLeftCell="G5" zoomScale="55" zoomScaleNormal="135" workbookViewId="0">
      <selection activeCell="K1" sqref="K1:N5"/>
    </sheetView>
  </sheetViews>
  <sheetFormatPr defaultColWidth="11" defaultRowHeight="15.75" x14ac:dyDescent="0.5"/>
  <cols>
    <col min="1" max="1" width="13.125" bestFit="1" customWidth="1"/>
    <col min="2" max="2" width="14" customWidth="1"/>
    <col min="3" max="3" width="12.8125" customWidth="1"/>
    <col min="4" max="4" width="16.1875" customWidth="1"/>
    <col min="6" max="6" width="18.6875" customWidth="1"/>
    <col min="7" max="7" width="20.3125" customWidth="1"/>
    <col min="8" max="8" width="14.3125" customWidth="1"/>
    <col min="9" max="9" width="17.1875" customWidth="1"/>
    <col min="10" max="10" width="18.5" customWidth="1"/>
  </cols>
  <sheetData>
    <row r="1" spans="1:14" ht="47.25" x14ac:dyDescent="0.5">
      <c r="A1" s="13" t="s">
        <v>19</v>
      </c>
      <c r="B1" s="14" t="s">
        <v>41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44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</row>
    <row r="2" spans="1:14" x14ac:dyDescent="0.5">
      <c r="A2" s="15">
        <v>1</v>
      </c>
      <c r="B2" s="16">
        <f>($H$2*G2)/$D$22</f>
        <v>8.7999999999999989</v>
      </c>
      <c r="C2" s="16">
        <f>D21/D20</f>
        <v>108.93804640371229</v>
      </c>
      <c r="D2" s="16">
        <v>400</v>
      </c>
      <c r="E2" s="17">
        <v>100</v>
      </c>
      <c r="F2" s="16">
        <f>G2-(B2+D2+E2+C2)</f>
        <v>632.26195359628764</v>
      </c>
      <c r="G2" s="17">
        <v>1250</v>
      </c>
      <c r="H2" s="17">
        <f>0.1*$J$2</f>
        <v>7.0399999999999998E-4</v>
      </c>
      <c r="I2" s="17">
        <f t="shared" ref="I2:I5" si="0">($D$19*E2)/G2</f>
        <v>3.5999999999999999E-3</v>
      </c>
      <c r="J2" s="17">
        <f>($D$18*D2)/G2</f>
        <v>7.0399999999999994E-3</v>
      </c>
      <c r="K2" s="17">
        <v>-3.3619999999999997E-2</v>
      </c>
      <c r="L2" s="17">
        <f t="shared" ref="L2:L5" si="1">-K2</f>
        <v>3.3619999999999997E-2</v>
      </c>
      <c r="M2" s="17">
        <f>1/J2</f>
        <v>142.04545454545456</v>
      </c>
      <c r="N2" s="17">
        <f>1/L2</f>
        <v>29.744199881023203</v>
      </c>
    </row>
    <row r="3" spans="1:14" x14ac:dyDescent="0.5">
      <c r="A3" s="15">
        <v>2</v>
      </c>
      <c r="B3" s="16">
        <f t="shared" ref="B3:B5" si="2">($H$2*G3)/$D$22</f>
        <v>8.7999999999999989</v>
      </c>
      <c r="C3" s="16">
        <f>C2</f>
        <v>108.93804640371229</v>
      </c>
      <c r="D3" s="16">
        <v>100</v>
      </c>
      <c r="E3" s="17">
        <v>100</v>
      </c>
      <c r="F3" s="16">
        <f>G3-(B3+D3+E3+C3)</f>
        <v>932.26195359628764</v>
      </c>
      <c r="G3" s="17">
        <v>1250</v>
      </c>
      <c r="H3" s="17">
        <f t="shared" ref="H3:H5" si="3">0.1*$J$2</f>
        <v>7.0399999999999998E-4</v>
      </c>
      <c r="I3" s="17">
        <f t="shared" si="0"/>
        <v>3.5999999999999999E-3</v>
      </c>
      <c r="J3" s="17">
        <f t="shared" ref="J3:J5" si="4">($D$18*D3)/G3</f>
        <v>1.7599999999999998E-3</v>
      </c>
      <c r="K3" s="17">
        <v>-2.768E-2</v>
      </c>
      <c r="L3" s="17">
        <f t="shared" si="1"/>
        <v>2.768E-2</v>
      </c>
      <c r="M3" s="17">
        <f t="shared" ref="M3:M5" si="5">1/J3</f>
        <v>568.18181818181824</v>
      </c>
      <c r="N3" s="17">
        <f t="shared" ref="N3:N5" si="6">1/L3</f>
        <v>36.127167630057805</v>
      </c>
    </row>
    <row r="4" spans="1:14" x14ac:dyDescent="0.5">
      <c r="A4" s="15">
        <v>3</v>
      </c>
      <c r="B4" s="16">
        <f t="shared" si="2"/>
        <v>8.7999999999999989</v>
      </c>
      <c r="C4" s="16">
        <f t="shared" ref="C4:C5" si="7">C3</f>
        <v>108.93804640371229</v>
      </c>
      <c r="D4" s="16">
        <v>50</v>
      </c>
      <c r="E4" s="17">
        <v>100</v>
      </c>
      <c r="F4" s="16">
        <f t="shared" ref="F4:F5" si="8">G4-(B4+D4+E4+C4)</f>
        <v>982.26195359628764</v>
      </c>
      <c r="G4" s="17">
        <v>1250</v>
      </c>
      <c r="H4" s="17">
        <f t="shared" si="3"/>
        <v>7.0399999999999998E-4</v>
      </c>
      <c r="I4" s="17">
        <f t="shared" si="0"/>
        <v>3.5999999999999999E-3</v>
      </c>
      <c r="J4" s="17">
        <f t="shared" si="4"/>
        <v>8.7999999999999992E-4</v>
      </c>
      <c r="K4" s="17">
        <v>-1.397E-2</v>
      </c>
      <c r="L4" s="17">
        <f t="shared" si="1"/>
        <v>1.397E-2</v>
      </c>
      <c r="M4" s="17">
        <f t="shared" si="5"/>
        <v>1136.3636363636365</v>
      </c>
      <c r="N4" s="17">
        <f t="shared" si="6"/>
        <v>71.581961345740879</v>
      </c>
    </row>
    <row r="5" spans="1:14" ht="19.05" customHeight="1" x14ac:dyDescent="0.5">
      <c r="A5" s="15">
        <v>4</v>
      </c>
      <c r="B5" s="16">
        <f t="shared" si="2"/>
        <v>8.7999999999999989</v>
      </c>
      <c r="C5" s="16">
        <f t="shared" si="7"/>
        <v>108.93804640371229</v>
      </c>
      <c r="D5" s="16">
        <v>25</v>
      </c>
      <c r="E5" s="17">
        <v>100</v>
      </c>
      <c r="F5" s="16">
        <f t="shared" si="8"/>
        <v>1007.2619535962876</v>
      </c>
      <c r="G5" s="17">
        <v>1250</v>
      </c>
      <c r="H5" s="17">
        <f t="shared" si="3"/>
        <v>7.0399999999999998E-4</v>
      </c>
      <c r="I5" s="17">
        <f t="shared" si="0"/>
        <v>3.5999999999999999E-3</v>
      </c>
      <c r="J5" s="17">
        <f t="shared" si="4"/>
        <v>4.3999999999999996E-4</v>
      </c>
      <c r="K5" s="17">
        <v>-9.6179999999999998E-3</v>
      </c>
      <c r="L5" s="17">
        <f t="shared" si="1"/>
        <v>9.6179999999999998E-3</v>
      </c>
      <c r="M5" s="17">
        <f t="shared" si="5"/>
        <v>2272.727272727273</v>
      </c>
      <c r="N5" s="17">
        <f t="shared" si="6"/>
        <v>103.97171969224371</v>
      </c>
    </row>
    <row r="6" spans="1:14" x14ac:dyDescent="0.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4" x14ac:dyDescent="0.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4" x14ac:dyDescent="0.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4" x14ac:dyDescent="0.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4" x14ac:dyDescent="0.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4" x14ac:dyDescent="0.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4" x14ac:dyDescent="0.5">
      <c r="A12" s="18"/>
      <c r="B12" s="18"/>
      <c r="C12" s="18"/>
      <c r="D12" s="18"/>
      <c r="E12" s="18"/>
      <c r="F12" s="30"/>
      <c r="G12" s="18"/>
      <c r="H12" s="18"/>
      <c r="I12" s="18"/>
      <c r="J12" s="18"/>
      <c r="K12" s="18"/>
      <c r="L12" s="18"/>
      <c r="M12" s="18"/>
      <c r="N12" s="18"/>
    </row>
    <row r="13" spans="1:14" x14ac:dyDescent="0.5">
      <c r="A13" s="18"/>
      <c r="B13" s="18"/>
      <c r="C13" s="18"/>
      <c r="D13" s="18"/>
      <c r="E13" s="18"/>
      <c r="F13" s="18"/>
      <c r="G13" s="18"/>
      <c r="H13" s="18"/>
      <c r="I13" s="18"/>
      <c r="J13" s="18" t="s">
        <v>38</v>
      </c>
      <c r="K13" s="18"/>
      <c r="L13" s="18"/>
      <c r="M13" s="18"/>
      <c r="N13" s="18"/>
    </row>
    <row r="14" spans="1:14" x14ac:dyDescent="0.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x14ac:dyDescent="0.5">
      <c r="A15" s="18"/>
      <c r="B15" s="18"/>
      <c r="C15" s="18"/>
      <c r="D15" s="18"/>
      <c r="E15" s="18"/>
      <c r="F15" s="18"/>
      <c r="G15" s="18"/>
      <c r="J15" s="18"/>
      <c r="K15" s="18"/>
      <c r="L15" s="18"/>
      <c r="M15" s="18"/>
      <c r="N15" s="18"/>
    </row>
    <row r="16" spans="1:14" x14ac:dyDescent="0.5">
      <c r="A16" s="18"/>
      <c r="B16" s="18"/>
      <c r="C16" s="18"/>
      <c r="D16" s="18"/>
      <c r="E16" s="18"/>
      <c r="F16" s="18"/>
      <c r="G16" s="18"/>
      <c r="J16" s="18"/>
      <c r="K16" s="18"/>
      <c r="L16" s="18"/>
      <c r="M16" s="18"/>
      <c r="N16" s="18"/>
    </row>
    <row r="17" spans="1:14" x14ac:dyDescent="0.5">
      <c r="A17" s="18"/>
      <c r="B17" s="18"/>
      <c r="C17" s="18"/>
      <c r="D17" s="18"/>
      <c r="E17" s="18"/>
      <c r="F17" s="18"/>
      <c r="G17" s="18"/>
      <c r="J17" s="18"/>
      <c r="K17" s="18"/>
      <c r="L17" s="18"/>
      <c r="M17" s="18"/>
      <c r="N17" s="18"/>
    </row>
    <row r="18" spans="1:14" ht="63" x14ac:dyDescent="0.5">
      <c r="A18" s="18"/>
      <c r="B18" s="18"/>
      <c r="C18" s="19" t="s">
        <v>31</v>
      </c>
      <c r="D18" s="19">
        <f>22/1000</f>
        <v>2.1999999999999999E-2</v>
      </c>
      <c r="E18" s="18"/>
      <c r="F18" s="20" t="s">
        <v>32</v>
      </c>
      <c r="G18" s="21">
        <f>SLOPE(N2:N10,M2:M10)</f>
        <v>3.6664901765735544E-2</v>
      </c>
      <c r="J18" s="18"/>
      <c r="K18" s="18"/>
      <c r="L18" s="18"/>
      <c r="M18" s="18"/>
      <c r="N18" s="18"/>
    </row>
    <row r="19" spans="1:14" ht="47.25" x14ac:dyDescent="0.5">
      <c r="A19" s="18"/>
      <c r="B19" s="18"/>
      <c r="C19" s="22" t="s">
        <v>36</v>
      </c>
      <c r="D19" s="23">
        <v>4.4999999999999998E-2</v>
      </c>
      <c r="E19" s="18"/>
      <c r="F19" s="24" t="s">
        <v>54</v>
      </c>
      <c r="G19" s="25">
        <f>INTERCEPT(N2:N10,M2:M10)</f>
        <v>22.597663017723399</v>
      </c>
      <c r="J19" s="18"/>
      <c r="K19" s="18"/>
      <c r="L19" s="18"/>
      <c r="M19" s="18"/>
      <c r="N19" s="18"/>
    </row>
    <row r="20" spans="1:14" ht="31.5" x14ac:dyDescent="0.5">
      <c r="A20" s="18"/>
      <c r="B20" s="18"/>
      <c r="C20" s="22" t="s">
        <v>42</v>
      </c>
      <c r="D20" s="22">
        <f>((43.1)/(15))/763.452</f>
        <v>3.7636070549731137E-3</v>
      </c>
      <c r="E20" s="18"/>
      <c r="F20" s="24" t="s">
        <v>55</v>
      </c>
      <c r="G20" s="25">
        <f>(-1*INTERCEPT(N2:N5, M2:M5))/SLOPE(N2:N5, M2:M5)</f>
        <v>-616.3295666822595</v>
      </c>
      <c r="J20" s="18"/>
      <c r="K20" s="18"/>
      <c r="L20" s="18"/>
      <c r="M20" s="18"/>
      <c r="N20" s="18"/>
    </row>
    <row r="21" spans="1:14" ht="31.5" x14ac:dyDescent="0.5">
      <c r="A21" s="18"/>
      <c r="B21" s="18"/>
      <c r="C21" s="22" t="s">
        <v>40</v>
      </c>
      <c r="D21" s="22">
        <f>(100)*0.0041</f>
        <v>0.41000000000000003</v>
      </c>
      <c r="E21" s="18"/>
      <c r="F21" s="18"/>
      <c r="G21" s="18"/>
      <c r="J21" s="18"/>
      <c r="K21" s="18"/>
      <c r="L21" s="18"/>
      <c r="M21" s="18"/>
      <c r="N21" s="18"/>
    </row>
    <row r="22" spans="1:14" ht="47.25" x14ac:dyDescent="0.5">
      <c r="A22" s="18"/>
      <c r="B22" s="18"/>
      <c r="C22" s="22" t="s">
        <v>43</v>
      </c>
      <c r="D22" s="22">
        <v>0.1</v>
      </c>
      <c r="E22" s="18"/>
      <c r="F22" s="18"/>
      <c r="G22" s="18"/>
      <c r="J22" s="18"/>
      <c r="K22" s="18"/>
      <c r="L22" s="18"/>
      <c r="M22" s="18"/>
      <c r="N22" s="18"/>
    </row>
    <row r="23" spans="1:14" x14ac:dyDescent="0.5">
      <c r="A23" s="18"/>
      <c r="B23" s="18"/>
      <c r="C23" s="18"/>
      <c r="D23" s="18"/>
      <c r="E23" s="18"/>
      <c r="F23" s="26" t="s">
        <v>34</v>
      </c>
      <c r="G23" s="40">
        <f>-1/G20</f>
        <v>1.6225085636943598E-3</v>
      </c>
      <c r="J23" s="18"/>
      <c r="K23" s="18"/>
      <c r="L23" s="18"/>
      <c r="M23" s="18"/>
      <c r="N23" s="18"/>
    </row>
    <row r="24" spans="1:14" x14ac:dyDescent="0.5">
      <c r="A24" s="18"/>
      <c r="B24" s="18"/>
      <c r="C24" s="18"/>
      <c r="D24" s="18"/>
      <c r="E24" s="18"/>
      <c r="F24" s="28" t="s">
        <v>35</v>
      </c>
      <c r="G24" s="29">
        <f>1/G19</f>
        <v>4.4252363583601441E-2</v>
      </c>
      <c r="J24" s="18"/>
      <c r="K24" s="18"/>
      <c r="L24" s="18"/>
      <c r="M24" s="18"/>
      <c r="N24" s="1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E3D1-3196-8244-82AB-42F04F75B17B}">
  <dimension ref="A1:O41"/>
  <sheetViews>
    <sheetView zoomScale="60" zoomScaleNormal="135" workbookViewId="0">
      <selection activeCell="L15" sqref="L15:O18"/>
    </sheetView>
  </sheetViews>
  <sheetFormatPr defaultColWidth="11" defaultRowHeight="15.75" x14ac:dyDescent="0.5"/>
  <cols>
    <col min="1" max="1" width="18.3125" customWidth="1"/>
    <col min="2" max="2" width="17.5" customWidth="1"/>
    <col min="4" max="4" width="14.6875" customWidth="1"/>
    <col min="5" max="5" width="16.5" customWidth="1"/>
    <col min="10" max="10" width="14.3125" customWidth="1"/>
    <col min="11" max="11" width="14.5" customWidth="1"/>
    <col min="15" max="15" width="9" customWidth="1"/>
  </cols>
  <sheetData>
    <row r="1" spans="1:15" x14ac:dyDescent="0.5">
      <c r="A1" s="55" t="s">
        <v>47</v>
      </c>
      <c r="B1" s="55"/>
      <c r="D1" s="55" t="s">
        <v>49</v>
      </c>
      <c r="E1" s="55"/>
      <c r="G1" s="55" t="s">
        <v>50</v>
      </c>
      <c r="H1" s="55"/>
      <c r="J1" s="56" t="s">
        <v>51</v>
      </c>
      <c r="K1" s="57"/>
    </row>
    <row r="2" spans="1:15" x14ac:dyDescent="0.5">
      <c r="A2" s="14" t="s">
        <v>29</v>
      </c>
      <c r="B2" s="14" t="s">
        <v>30</v>
      </c>
      <c r="D2" s="13" t="s">
        <v>29</v>
      </c>
      <c r="E2" s="14" t="s">
        <v>30</v>
      </c>
      <c r="G2" s="13" t="s">
        <v>29</v>
      </c>
      <c r="H2" s="14" t="s">
        <v>30</v>
      </c>
      <c r="J2" s="41" t="s">
        <v>29</v>
      </c>
      <c r="K2" s="14" t="s">
        <v>30</v>
      </c>
    </row>
    <row r="3" spans="1:15" x14ac:dyDescent="0.5">
      <c r="A3" s="17">
        <v>142.045455</v>
      </c>
      <c r="B3" s="17">
        <v>17.743080200000001</v>
      </c>
      <c r="D3" s="35">
        <v>142.04545454545456</v>
      </c>
      <c r="E3" s="35">
        <v>46.468401486988846</v>
      </c>
      <c r="G3" s="35">
        <v>142.04545454545456</v>
      </c>
      <c r="H3" s="35">
        <v>77.942322681215899</v>
      </c>
      <c r="J3" s="15">
        <v>142.04545454545456</v>
      </c>
      <c r="K3" s="17">
        <v>29.744199881023203</v>
      </c>
    </row>
    <row r="4" spans="1:15" x14ac:dyDescent="0.5">
      <c r="A4" s="17">
        <v>568.18181800000002</v>
      </c>
      <c r="B4" s="17">
        <v>22.999079999999999</v>
      </c>
      <c r="D4" s="35">
        <v>568.18181818181824</v>
      </c>
      <c r="E4" s="35">
        <v>120.12012012012011</v>
      </c>
      <c r="G4" s="35">
        <v>568.18181818181824</v>
      </c>
      <c r="H4" s="35">
        <v>88.652482269503551</v>
      </c>
      <c r="J4" s="15">
        <v>568.18181818181824</v>
      </c>
      <c r="K4" s="17">
        <v>36.127167630057805</v>
      </c>
    </row>
    <row r="5" spans="1:15" x14ac:dyDescent="0.5">
      <c r="A5" s="17">
        <v>1136.36364</v>
      </c>
      <c r="B5" s="17">
        <v>31.446540899999999</v>
      </c>
      <c r="D5" s="35">
        <v>1136.3636363636365</v>
      </c>
      <c r="E5" s="35">
        <v>226.75736961451247</v>
      </c>
      <c r="G5" s="35">
        <v>1136.3636363636365</v>
      </c>
      <c r="H5" s="35">
        <v>146.64906877841324</v>
      </c>
      <c r="J5" s="15">
        <v>1136.3636363636365</v>
      </c>
      <c r="K5" s="17">
        <v>71.581961345740879</v>
      </c>
    </row>
    <row r="6" spans="1:15" x14ac:dyDescent="0.5">
      <c r="A6" s="17">
        <v>2272.7272699999999</v>
      </c>
      <c r="B6" s="17">
        <v>98.619329399999998</v>
      </c>
      <c r="D6" s="35">
        <v>2272.727272727273</v>
      </c>
      <c r="E6" s="35">
        <v>449.64028776978421</v>
      </c>
      <c r="G6" s="35">
        <v>2272.727272727273</v>
      </c>
      <c r="H6" s="35">
        <v>163.23865491348351</v>
      </c>
      <c r="J6" s="15">
        <v>2272.727272727273</v>
      </c>
      <c r="K6" s="17">
        <v>103.97171969224371</v>
      </c>
    </row>
    <row r="8" spans="1:15" x14ac:dyDescent="0.5">
      <c r="A8" s="44" t="s">
        <v>53</v>
      </c>
      <c r="B8" s="8">
        <f>-1/((-1*INTERCEPT(B3:B6, A3:A6))/SLOPE(B3:B6, A3:A6))</f>
        <v>1.4896471925767721E-2</v>
      </c>
      <c r="D8" s="44" t="s">
        <v>53</v>
      </c>
      <c r="E8" s="8">
        <f>-1/((-1*INTERCEPT(E3:E6, D3:D6))/SLOPE(E3:E6, D3:D6))</f>
        <v>1.2745687054751155E-2</v>
      </c>
      <c r="G8" s="44" t="s">
        <v>53</v>
      </c>
      <c r="H8" s="8">
        <f>-1/((-1*INTERCEPT(H3:H6, G3:G6))/SLOPE(H3:H6, G3:G6))</f>
        <v>5.6155111396701549E-4</v>
      </c>
      <c r="J8" s="44" t="s">
        <v>53</v>
      </c>
      <c r="K8" s="8">
        <f>-1/((-1*INTERCEPT(K3:K6, J3:J6))/SLOPE(K3:K6, J3:J6))</f>
        <v>1.6225085636943598E-3</v>
      </c>
    </row>
    <row r="9" spans="1:15" x14ac:dyDescent="0.5">
      <c r="A9" s="44" t="s">
        <v>52</v>
      </c>
      <c r="B9" s="45">
        <f>1/INTERCEPT(B3:B6,A3:A6)</f>
        <v>0.38267116291329167</v>
      </c>
      <c r="D9" s="44" t="s">
        <v>52</v>
      </c>
      <c r="E9" s="45">
        <f>1/INTERCEPT(E3:E6,D3:D6)</f>
        <v>6.7027837267753271E-2</v>
      </c>
      <c r="G9" s="44" t="s">
        <v>52</v>
      </c>
      <c r="H9" s="45">
        <f>1/INTERCEPT(H3:H6,G3:G6)</f>
        <v>1.324961007860957E-2</v>
      </c>
      <c r="J9" s="44" t="s">
        <v>52</v>
      </c>
      <c r="K9" s="45">
        <f>1/INTERCEPT(K3:K6,J3:J6)</f>
        <v>4.4252363583601441E-2</v>
      </c>
    </row>
    <row r="15" spans="1:15" x14ac:dyDescent="0.5">
      <c r="L15" s="46"/>
      <c r="M15" s="46"/>
      <c r="N15" s="48" t="s">
        <v>56</v>
      </c>
      <c r="O15" s="47" t="s">
        <v>57</v>
      </c>
    </row>
    <row r="16" spans="1:15" x14ac:dyDescent="0.5">
      <c r="L16" s="55" t="s">
        <v>49</v>
      </c>
      <c r="M16" s="55"/>
      <c r="N16" s="6">
        <f>(E8*O16)/B8</f>
        <v>4.8848401676849464</v>
      </c>
      <c r="O16" s="6">
        <f>B9/E9</f>
        <v>5.7091378524515317</v>
      </c>
    </row>
    <row r="17" spans="3:15" x14ac:dyDescent="0.5">
      <c r="L17" s="55" t="s">
        <v>50</v>
      </c>
      <c r="M17" s="55"/>
      <c r="N17" s="6">
        <f>(H8*O17)/B8</f>
        <v>1.0887508552289882</v>
      </c>
      <c r="O17" s="6">
        <f>B9/H9</f>
        <v>28.881692415317449</v>
      </c>
    </row>
    <row r="18" spans="3:15" x14ac:dyDescent="0.5">
      <c r="C18" s="43"/>
      <c r="D18" s="43"/>
      <c r="L18" s="58" t="s">
        <v>51</v>
      </c>
      <c r="M18" s="58"/>
      <c r="N18" s="6">
        <f>(K8*O18)/B8</f>
        <v>0.94187406700815357</v>
      </c>
      <c r="O18" s="6">
        <f>B9/K9</f>
        <v>8.6474739861148979</v>
      </c>
    </row>
    <row r="22" spans="3:15" x14ac:dyDescent="0.5">
      <c r="D22">
        <v>0.1</v>
      </c>
    </row>
    <row r="36" spans="1:11" x14ac:dyDescent="0.5">
      <c r="A36" s="55" t="s">
        <v>47</v>
      </c>
      <c r="B36" s="55"/>
      <c r="D36" s="55" t="s">
        <v>49</v>
      </c>
      <c r="E36" s="55"/>
      <c r="G36" s="55" t="s">
        <v>50</v>
      </c>
      <c r="H36" s="55"/>
      <c r="J36" s="56" t="s">
        <v>51</v>
      </c>
      <c r="K36" s="57"/>
    </row>
    <row r="37" spans="1:11" ht="47.25" x14ac:dyDescent="0.5">
      <c r="A37" s="14" t="s">
        <v>26</v>
      </c>
      <c r="B37" s="14" t="s">
        <v>28</v>
      </c>
      <c r="D37" s="13" t="s">
        <v>26</v>
      </c>
      <c r="E37" s="14" t="s">
        <v>28</v>
      </c>
      <c r="G37" s="13" t="s">
        <v>26</v>
      </c>
      <c r="H37" s="14" t="s">
        <v>28</v>
      </c>
      <c r="J37" s="41" t="s">
        <v>26</v>
      </c>
      <c r="K37" s="14" t="s">
        <v>28</v>
      </c>
    </row>
    <row r="38" spans="1:11" x14ac:dyDescent="0.5">
      <c r="A38" s="17">
        <v>7.0399999999999994E-3</v>
      </c>
      <c r="B38" s="17">
        <v>5.636E-2</v>
      </c>
      <c r="D38" s="17">
        <v>7.0399999999999994E-3</v>
      </c>
      <c r="E38" s="17">
        <v>2.1520000000000001E-2</v>
      </c>
      <c r="G38" s="35">
        <v>7.0399999999999994E-3</v>
      </c>
      <c r="H38" s="35">
        <v>1.2829999999999999E-2</v>
      </c>
      <c r="J38" s="15">
        <v>7.0399999999999994E-3</v>
      </c>
      <c r="K38" s="17">
        <v>3.3619999999999997E-2</v>
      </c>
    </row>
    <row r="39" spans="1:11" x14ac:dyDescent="0.5">
      <c r="A39" s="17">
        <v>1.7599999999999998E-3</v>
      </c>
      <c r="B39" s="17">
        <v>4.3479999999999998E-2</v>
      </c>
      <c r="D39" s="17">
        <v>1.7599999999999998E-3</v>
      </c>
      <c r="E39" s="17">
        <v>8.3250000000000008E-3</v>
      </c>
      <c r="G39" s="35">
        <v>1.7599999999999998E-3</v>
      </c>
      <c r="H39" s="35">
        <v>1.128E-2</v>
      </c>
      <c r="J39" s="15">
        <v>1.7599999999999998E-3</v>
      </c>
      <c r="K39" s="17">
        <v>2.768E-2</v>
      </c>
    </row>
    <row r="40" spans="1:11" x14ac:dyDescent="0.5">
      <c r="A40" s="17">
        <v>8.7999999999999992E-4</v>
      </c>
      <c r="B40" s="17">
        <v>3.1800000000000002E-2</v>
      </c>
      <c r="D40" s="17">
        <v>8.7999999999999992E-4</v>
      </c>
      <c r="E40" s="17">
        <v>4.4099999999999999E-3</v>
      </c>
      <c r="G40" s="35">
        <v>8.7999999999999992E-4</v>
      </c>
      <c r="H40" s="35">
        <v>6.8190000000000004E-3</v>
      </c>
      <c r="J40" s="15">
        <v>8.7999999999999992E-4</v>
      </c>
      <c r="K40" s="17">
        <v>1.397E-2</v>
      </c>
    </row>
    <row r="41" spans="1:11" x14ac:dyDescent="0.5">
      <c r="A41" s="17">
        <v>4.3999999999999996E-4</v>
      </c>
      <c r="B41" s="17">
        <v>1.014E-2</v>
      </c>
      <c r="D41" s="17">
        <v>4.3999999999999996E-4</v>
      </c>
      <c r="E41" s="17">
        <v>2.2239999999999998E-3</v>
      </c>
      <c r="G41" s="35">
        <v>4.3999999999999996E-4</v>
      </c>
      <c r="H41" s="35">
        <v>6.1260000000000004E-3</v>
      </c>
      <c r="J41" s="15">
        <v>4.3999999999999996E-4</v>
      </c>
      <c r="K41" s="17">
        <v>9.6179999999999998E-3</v>
      </c>
    </row>
  </sheetData>
  <mergeCells count="11">
    <mergeCell ref="L16:M16"/>
    <mergeCell ref="L17:M17"/>
    <mergeCell ref="L18:M18"/>
    <mergeCell ref="A1:B1"/>
    <mergeCell ref="D1:E1"/>
    <mergeCell ref="G1:H1"/>
    <mergeCell ref="J1:K1"/>
    <mergeCell ref="A36:B36"/>
    <mergeCell ref="D36:E36"/>
    <mergeCell ref="G36:H36"/>
    <mergeCell ref="J36:K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C69F-5EB6-44FF-995A-A64F86E33680}">
  <dimension ref="A1:L18"/>
  <sheetViews>
    <sheetView zoomScale="53" workbookViewId="0">
      <selection activeCell="H2" sqref="H2"/>
    </sheetView>
  </sheetViews>
  <sheetFormatPr defaultColWidth="11" defaultRowHeight="15.75" x14ac:dyDescent="0.5"/>
  <cols>
    <col min="1" max="1" width="12.625" bestFit="1" customWidth="1"/>
    <col min="2" max="2" width="12.75" bestFit="1" customWidth="1"/>
    <col min="3" max="3" width="13.25" bestFit="1" customWidth="1"/>
    <col min="4" max="4" width="11" customWidth="1"/>
    <col min="5" max="5" width="18.125" customWidth="1"/>
    <col min="6" max="6" width="15.625" bestFit="1" customWidth="1"/>
    <col min="7" max="7" width="16.9375" bestFit="1" customWidth="1"/>
    <col min="8" max="8" width="15.25" bestFit="1" customWidth="1"/>
  </cols>
  <sheetData>
    <row r="1" spans="1:12" ht="47.25" x14ac:dyDescent="0.5">
      <c r="A1" s="13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30</v>
      </c>
    </row>
    <row r="2" spans="1:12" x14ac:dyDescent="0.5">
      <c r="A2" s="15">
        <v>1</v>
      </c>
      <c r="B2" s="16">
        <f>C15/C14</f>
        <v>99.686407643312108</v>
      </c>
      <c r="C2" s="16">
        <v>400</v>
      </c>
      <c r="D2" s="17">
        <v>100</v>
      </c>
      <c r="E2" s="16">
        <f>F2-(SUM(B2:D2))</f>
        <v>650.31359235668788</v>
      </c>
      <c r="F2" s="17">
        <v>1250</v>
      </c>
      <c r="G2" s="17">
        <f>($C$13*D2)/F2</f>
        <v>3.5999999999999999E-3</v>
      </c>
      <c r="H2" s="17">
        <f>($C$12*C2)/F2</f>
        <v>7.0399999999999994E-3</v>
      </c>
      <c r="I2" s="17">
        <v>-3.4889999999999997E-2</v>
      </c>
      <c r="J2" s="17">
        <f t="shared" ref="J2:J3" si="0">-I2</f>
        <v>3.4889999999999997E-2</v>
      </c>
      <c r="K2" s="17">
        <f t="shared" ref="K2:K3" si="1">1/H2</f>
        <v>142.04545454545456</v>
      </c>
      <c r="L2" s="17">
        <f t="shared" ref="L2:L3" si="2">1/J2</f>
        <v>28.661507595299515</v>
      </c>
    </row>
    <row r="3" spans="1:12" x14ac:dyDescent="0.5">
      <c r="A3" s="15">
        <v>2</v>
      </c>
      <c r="B3" s="16">
        <f>B2</f>
        <v>99.686407643312108</v>
      </c>
      <c r="C3" s="16">
        <v>100</v>
      </c>
      <c r="D3" s="17">
        <v>100</v>
      </c>
      <c r="E3" s="16">
        <f t="shared" ref="E3" si="3">F3-(C3+D3+B3)</f>
        <v>950.31359235668788</v>
      </c>
      <c r="F3" s="17">
        <v>1250</v>
      </c>
      <c r="G3" s="17">
        <f>($C$13*D3)/F3</f>
        <v>3.5999999999999999E-3</v>
      </c>
      <c r="H3" s="17">
        <f>($C$12*C3)/F3</f>
        <v>1.7599999999999998E-3</v>
      </c>
      <c r="I3" s="17">
        <f>-0.03252</f>
        <v>-3.252E-2</v>
      </c>
      <c r="J3" s="17">
        <f t="shared" si="0"/>
        <v>3.252E-2</v>
      </c>
      <c r="K3" s="17">
        <f t="shared" si="1"/>
        <v>568.18181818181824</v>
      </c>
      <c r="L3" s="17">
        <f t="shared" si="2"/>
        <v>30.750307503075032</v>
      </c>
    </row>
    <row r="4" spans="1:12" x14ac:dyDescent="0.5">
      <c r="A4" s="15">
        <v>3</v>
      </c>
      <c r="B4" s="16">
        <f>B2</f>
        <v>99.686407643312108</v>
      </c>
      <c r="C4" s="16">
        <v>50</v>
      </c>
      <c r="D4" s="17">
        <v>100</v>
      </c>
      <c r="E4" s="16">
        <f>F4-(C4+D4+B4)</f>
        <v>1000.3135923566879</v>
      </c>
      <c r="F4" s="17">
        <v>1250</v>
      </c>
      <c r="G4" s="17">
        <f>($C$13*D4)/F4</f>
        <v>3.5999999999999999E-3</v>
      </c>
      <c r="H4" s="17">
        <f>($C$12*C4)/F4</f>
        <v>8.7999999999999992E-4</v>
      </c>
      <c r="I4" s="17">
        <v>-1.941E-2</v>
      </c>
      <c r="J4" s="17">
        <f>-I4</f>
        <v>1.941E-2</v>
      </c>
      <c r="K4" s="17">
        <f>1/H4</f>
        <v>1136.3636363636365</v>
      </c>
      <c r="L4" s="17">
        <f>1/J4</f>
        <v>51.519835136527561</v>
      </c>
    </row>
    <row r="5" spans="1:12" x14ac:dyDescent="0.5">
      <c r="A5" s="15">
        <v>4</v>
      </c>
      <c r="B5" s="16">
        <f>B2</f>
        <v>99.686407643312108</v>
      </c>
      <c r="C5" s="16">
        <v>25</v>
      </c>
      <c r="D5" s="17">
        <v>100</v>
      </c>
      <c r="E5" s="16">
        <f>F5-(C5+D5+B5)</f>
        <v>1025.3135923566879</v>
      </c>
      <c r="F5" s="17">
        <v>1250</v>
      </c>
      <c r="G5" s="39">
        <f>($C$13*D5)/F5</f>
        <v>3.5999999999999999E-3</v>
      </c>
      <c r="H5" s="17">
        <f>($C$12*C5)/F5</f>
        <v>4.3999999999999996E-4</v>
      </c>
      <c r="I5" s="17">
        <v>-1.0290000000000001E-2</v>
      </c>
      <c r="J5" s="17">
        <f>-I5</f>
        <v>1.0290000000000001E-2</v>
      </c>
      <c r="K5" s="17">
        <f>1/H5</f>
        <v>2272.727272727273</v>
      </c>
      <c r="L5" s="17">
        <f>1/J5</f>
        <v>97.181729834791057</v>
      </c>
    </row>
    <row r="6" spans="1:12" x14ac:dyDescent="0.5">
      <c r="A6" s="18"/>
      <c r="B6" s="18"/>
      <c r="C6" s="18"/>
      <c r="D6" s="18"/>
      <c r="E6" s="30"/>
      <c r="F6" s="18"/>
      <c r="G6" s="18"/>
      <c r="H6" s="18"/>
      <c r="I6" s="18"/>
      <c r="J6" s="18"/>
      <c r="K6" s="18"/>
      <c r="L6" s="18"/>
    </row>
    <row r="7" spans="1:12" x14ac:dyDescent="0.5">
      <c r="A7" s="18"/>
      <c r="B7" s="18"/>
      <c r="C7" s="30"/>
      <c r="D7" s="18"/>
      <c r="E7" s="18"/>
      <c r="F7" s="18"/>
      <c r="G7" s="18"/>
      <c r="H7" s="18" t="s">
        <v>38</v>
      </c>
      <c r="I7" s="18"/>
      <c r="J7" s="18"/>
      <c r="K7" s="18"/>
      <c r="L7" s="18"/>
    </row>
    <row r="8" spans="1:12" x14ac:dyDescent="0.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x14ac:dyDescent="0.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spans="1:12" x14ac:dyDescent="0.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x14ac:dyDescent="0.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ht="63" x14ac:dyDescent="0.5">
      <c r="A12" s="18"/>
      <c r="B12" s="19" t="s">
        <v>31</v>
      </c>
      <c r="C12" s="23">
        <f>22/1000</f>
        <v>2.1999999999999999E-2</v>
      </c>
      <c r="D12" s="18"/>
      <c r="E12" s="20" t="s">
        <v>32</v>
      </c>
      <c r="F12" s="21">
        <f>SLOPE(L2:L4,K2:K4)</f>
        <v>2.3722212614080543E-2</v>
      </c>
      <c r="G12" s="18"/>
      <c r="H12" s="18"/>
      <c r="I12" s="18"/>
      <c r="J12" s="18"/>
      <c r="K12" s="18"/>
      <c r="L12" s="18"/>
    </row>
    <row r="13" spans="1:12" ht="47.25" x14ac:dyDescent="0.5">
      <c r="A13" s="18"/>
      <c r="B13" s="22" t="s">
        <v>36</v>
      </c>
      <c r="C13" s="23">
        <v>4.4999999999999998E-2</v>
      </c>
      <c r="D13" s="18"/>
      <c r="E13" s="24" t="s">
        <v>54</v>
      </c>
      <c r="F13" s="25">
        <f>INTERCEPT(L2:L5,K2:K5)</f>
        <v>17.142140626920643</v>
      </c>
      <c r="G13" s="18"/>
      <c r="H13" s="18"/>
      <c r="I13" s="18"/>
      <c r="J13" s="18"/>
      <c r="K13" s="18"/>
      <c r="L13" s="18"/>
    </row>
    <row r="14" spans="1:12" ht="31.5" x14ac:dyDescent="0.5">
      <c r="A14" s="18"/>
      <c r="B14" s="22" t="s">
        <v>42</v>
      </c>
      <c r="C14" s="22">
        <f>((47.1)/(15))/763.452</f>
        <v>4.1128977329288547E-3</v>
      </c>
      <c r="D14" s="18"/>
      <c r="E14" s="24" t="s">
        <v>55</v>
      </c>
      <c r="F14" s="25">
        <f>(-1*INTERCEPT(L2:L5, K2:K5))/SLOPE(L2:L5, K2:K5)</f>
        <v>-506.03048392233615</v>
      </c>
      <c r="G14" s="18"/>
      <c r="H14" s="18"/>
      <c r="I14" s="18"/>
      <c r="J14" s="18"/>
      <c r="K14" s="18"/>
      <c r="L14" s="18"/>
    </row>
    <row r="15" spans="1:12" ht="31.5" x14ac:dyDescent="0.5">
      <c r="A15" s="18"/>
      <c r="B15" s="22" t="s">
        <v>40</v>
      </c>
      <c r="C15" s="22">
        <f>(100)*0.0041</f>
        <v>0.41000000000000003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5">
      <c r="A17" s="18"/>
      <c r="B17" s="18"/>
      <c r="C17" s="18"/>
      <c r="D17" s="18"/>
      <c r="E17" s="26" t="s">
        <v>34</v>
      </c>
      <c r="F17" s="40">
        <f>-1/F14</f>
        <v>1.9761655310739671E-3</v>
      </c>
      <c r="G17" s="18"/>
      <c r="H17" s="18"/>
      <c r="I17" s="18"/>
      <c r="J17" s="18"/>
      <c r="K17" s="18"/>
      <c r="L17" s="18"/>
    </row>
    <row r="18" spans="1:12" x14ac:dyDescent="0.5">
      <c r="A18" s="18"/>
      <c r="B18" s="18"/>
      <c r="C18" s="18"/>
      <c r="D18" s="18"/>
      <c r="E18" s="28" t="s">
        <v>35</v>
      </c>
      <c r="F18" s="29">
        <f>1/F13</f>
        <v>5.8335771579750284E-2</v>
      </c>
      <c r="G18" s="18"/>
      <c r="H18" s="18"/>
      <c r="I18" s="18"/>
      <c r="J18" s="18"/>
      <c r="K18" s="18"/>
      <c r="L18" s="18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446D-9B6D-4994-9820-72FC87F4E01B}">
  <dimension ref="A1:N24"/>
  <sheetViews>
    <sheetView zoomScale="48" workbookViewId="0">
      <selection sqref="A1:J5"/>
    </sheetView>
  </sheetViews>
  <sheetFormatPr defaultColWidth="11" defaultRowHeight="15.75" x14ac:dyDescent="0.5"/>
  <cols>
    <col min="1" max="1" width="12.625" bestFit="1" customWidth="1"/>
    <col min="2" max="2" width="14" customWidth="1"/>
    <col min="3" max="3" width="12.8125" customWidth="1"/>
    <col min="4" max="4" width="16.1875" customWidth="1"/>
    <col min="6" max="6" width="18.1875" bestFit="1" customWidth="1"/>
    <col min="7" max="7" width="15.3125" bestFit="1" customWidth="1"/>
    <col min="8" max="8" width="14.3125" customWidth="1"/>
    <col min="9" max="9" width="17.1875" customWidth="1"/>
    <col min="10" max="10" width="18.5" customWidth="1"/>
  </cols>
  <sheetData>
    <row r="1" spans="1:14" ht="47.25" x14ac:dyDescent="0.5">
      <c r="A1" s="13" t="s">
        <v>19</v>
      </c>
      <c r="B1" s="14" t="s">
        <v>41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44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</row>
    <row r="2" spans="1:14" x14ac:dyDescent="0.5">
      <c r="A2" s="15">
        <v>1</v>
      </c>
      <c r="B2" s="16">
        <f>($H$2*G2)/$D$22</f>
        <v>43.999999999999993</v>
      </c>
      <c r="C2" s="16">
        <f>D21/D20</f>
        <v>99.686407643312108</v>
      </c>
      <c r="D2" s="16">
        <v>400</v>
      </c>
      <c r="E2" s="17">
        <v>100</v>
      </c>
      <c r="F2" s="16">
        <f>G2-(B2+D2+E2+C2)</f>
        <v>606.31359235668788</v>
      </c>
      <c r="G2" s="17">
        <v>1250</v>
      </c>
      <c r="H2" s="17">
        <f>0.5*$J$2</f>
        <v>3.5199999999999997E-3</v>
      </c>
      <c r="I2" s="17">
        <f t="shared" ref="I2:I5" si="0">($D$19*E2)/G2</f>
        <v>3.5999999999999999E-3</v>
      </c>
      <c r="J2" s="17">
        <f>($D$18*D2)/G2</f>
        <v>7.0399999999999994E-3</v>
      </c>
      <c r="K2" s="17">
        <v>-3.8779999999999999E-3</v>
      </c>
      <c r="L2" s="17">
        <f>-K2</f>
        <v>3.8779999999999999E-3</v>
      </c>
      <c r="M2" s="17">
        <f>1/J2</f>
        <v>142.04545454545456</v>
      </c>
      <c r="N2" s="17">
        <f>1/L2</f>
        <v>257.86487880350694</v>
      </c>
    </row>
    <row r="3" spans="1:14" x14ac:dyDescent="0.5">
      <c r="A3" s="15">
        <v>2</v>
      </c>
      <c r="B3" s="16">
        <f t="shared" ref="B3:B5" si="1">($H$2*G3)/$D$22</f>
        <v>43.999999999999993</v>
      </c>
      <c r="C3" s="16">
        <f>C2</f>
        <v>99.686407643312108</v>
      </c>
      <c r="D3" s="16">
        <v>100</v>
      </c>
      <c r="E3" s="17">
        <v>100</v>
      </c>
      <c r="F3" s="16">
        <f>G3-(B3+D3+E3+C3)</f>
        <v>906.31359235668788</v>
      </c>
      <c r="G3" s="17">
        <v>1250</v>
      </c>
      <c r="H3" s="17">
        <f t="shared" ref="H3:H5" si="2">0.5*$J$2</f>
        <v>3.5199999999999997E-3</v>
      </c>
      <c r="I3" s="17">
        <f t="shared" si="0"/>
        <v>3.5999999999999999E-3</v>
      </c>
      <c r="J3" s="17">
        <f t="shared" ref="J3:J5" si="3">($D$18*D3)/G3</f>
        <v>1.7599999999999998E-3</v>
      </c>
      <c r="K3" s="17">
        <v>-3.0669999999999998E-3</v>
      </c>
      <c r="L3" s="17">
        <f>-K3</f>
        <v>3.0669999999999998E-3</v>
      </c>
      <c r="M3" s="17">
        <f t="shared" ref="M3:M5" si="4">1/J3</f>
        <v>568.18181818181824</v>
      </c>
      <c r="N3" s="17">
        <f t="shared" ref="N3:N5" si="5">1/L3</f>
        <v>326.05151613955007</v>
      </c>
    </row>
    <row r="4" spans="1:14" x14ac:dyDescent="0.5">
      <c r="A4" s="15">
        <v>3</v>
      </c>
      <c r="B4" s="16">
        <f t="shared" si="1"/>
        <v>43.999999999999993</v>
      </c>
      <c r="C4" s="16">
        <f t="shared" ref="C4:C5" si="6">C3</f>
        <v>99.686407643312108</v>
      </c>
      <c r="D4" s="16">
        <v>50</v>
      </c>
      <c r="E4" s="17">
        <v>100</v>
      </c>
      <c r="F4" s="16">
        <f t="shared" ref="F4:F5" si="7">G4-(B4+D4+E4+C4)</f>
        <v>956.31359235668788</v>
      </c>
      <c r="G4" s="17">
        <v>1250</v>
      </c>
      <c r="H4" s="17">
        <f t="shared" si="2"/>
        <v>3.5199999999999997E-3</v>
      </c>
      <c r="I4" s="17">
        <f t="shared" si="0"/>
        <v>3.5999999999999999E-3</v>
      </c>
      <c r="J4" s="17">
        <f t="shared" si="3"/>
        <v>8.7999999999999992E-4</v>
      </c>
      <c r="K4" s="17">
        <v>-1.7669999999999999E-3</v>
      </c>
      <c r="L4" s="17">
        <f t="shared" ref="L4:L5" si="8">-K4</f>
        <v>1.7669999999999999E-3</v>
      </c>
      <c r="M4" s="17">
        <f t="shared" si="4"/>
        <v>1136.3636363636365</v>
      </c>
      <c r="N4" s="17">
        <f t="shared" si="5"/>
        <v>565.93095642331639</v>
      </c>
    </row>
    <row r="5" spans="1:14" ht="19.05" customHeight="1" x14ac:dyDescent="0.5">
      <c r="A5" s="15">
        <v>4</v>
      </c>
      <c r="B5" s="16">
        <f t="shared" si="1"/>
        <v>43.999999999999993</v>
      </c>
      <c r="C5" s="16">
        <f t="shared" si="6"/>
        <v>99.686407643312108</v>
      </c>
      <c r="D5" s="16">
        <v>25</v>
      </c>
      <c r="E5" s="17">
        <v>100</v>
      </c>
      <c r="F5" s="16">
        <f t="shared" si="7"/>
        <v>981.31359235668788</v>
      </c>
      <c r="G5" s="17">
        <v>1250</v>
      </c>
      <c r="H5" s="17">
        <f t="shared" si="2"/>
        <v>3.5199999999999997E-3</v>
      </c>
      <c r="I5" s="17">
        <f t="shared" si="0"/>
        <v>3.5999999999999999E-3</v>
      </c>
      <c r="J5" s="17">
        <f t="shared" si="3"/>
        <v>4.3999999999999996E-4</v>
      </c>
      <c r="K5" s="17">
        <v>-1.2359999999999999E-3</v>
      </c>
      <c r="L5" s="17">
        <f t="shared" si="8"/>
        <v>1.2359999999999999E-3</v>
      </c>
      <c r="M5" s="17">
        <f t="shared" si="4"/>
        <v>2272.727272727273</v>
      </c>
      <c r="N5" s="17">
        <f t="shared" si="5"/>
        <v>809.06148867313925</v>
      </c>
    </row>
    <row r="6" spans="1:14" x14ac:dyDescent="0.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4" x14ac:dyDescent="0.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4" x14ac:dyDescent="0.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4" x14ac:dyDescent="0.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4" x14ac:dyDescent="0.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4" x14ac:dyDescent="0.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4" x14ac:dyDescent="0.5">
      <c r="A12" s="18"/>
      <c r="B12" s="18"/>
      <c r="C12" s="18"/>
      <c r="D12" s="18"/>
      <c r="E12" s="18"/>
      <c r="F12" s="30"/>
      <c r="G12" s="18"/>
      <c r="H12" s="18"/>
      <c r="I12" s="18"/>
      <c r="J12" s="18"/>
      <c r="K12" s="18"/>
      <c r="L12" s="18"/>
      <c r="M12" s="18"/>
      <c r="N12" s="18"/>
    </row>
    <row r="13" spans="1:14" x14ac:dyDescent="0.5">
      <c r="A13" s="18"/>
      <c r="B13" s="18"/>
      <c r="C13" s="18"/>
      <c r="D13" s="18"/>
      <c r="E13" s="18"/>
      <c r="F13" s="18"/>
      <c r="G13" s="18"/>
      <c r="H13" s="18"/>
      <c r="I13" s="18"/>
      <c r="J13" s="18" t="s">
        <v>38</v>
      </c>
      <c r="K13" s="18"/>
      <c r="L13" s="18"/>
      <c r="M13" s="18"/>
      <c r="N13" s="18"/>
    </row>
    <row r="14" spans="1:14" x14ac:dyDescent="0.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x14ac:dyDescent="0.5">
      <c r="A15" s="18"/>
      <c r="B15" s="18"/>
      <c r="C15" s="18"/>
      <c r="D15" s="18"/>
      <c r="E15" s="18"/>
      <c r="F15" s="18"/>
      <c r="G15" s="18"/>
      <c r="J15" s="18"/>
      <c r="K15" s="18"/>
      <c r="L15" s="18"/>
      <c r="M15" s="18"/>
      <c r="N15" s="18"/>
    </row>
    <row r="16" spans="1:14" x14ac:dyDescent="0.5">
      <c r="A16" s="18"/>
      <c r="B16" s="18"/>
      <c r="C16" s="18"/>
      <c r="D16" s="18"/>
      <c r="E16" s="18"/>
      <c r="F16" s="18"/>
      <c r="G16" s="18"/>
      <c r="J16" s="18"/>
      <c r="K16" s="18"/>
      <c r="L16" s="18"/>
      <c r="M16" s="18"/>
      <c r="N16" s="18"/>
    </row>
    <row r="17" spans="1:14" x14ac:dyDescent="0.5">
      <c r="A17" s="18"/>
      <c r="B17" s="18"/>
      <c r="C17" s="18"/>
      <c r="D17" s="18"/>
      <c r="E17" s="18"/>
      <c r="F17" s="18"/>
      <c r="G17" s="18"/>
      <c r="J17" s="18"/>
      <c r="K17" s="18"/>
      <c r="L17" s="18"/>
      <c r="M17" s="18"/>
      <c r="N17" s="18"/>
    </row>
    <row r="18" spans="1:14" ht="63" x14ac:dyDescent="0.5">
      <c r="A18" s="18"/>
      <c r="B18" s="18"/>
      <c r="C18" s="19" t="s">
        <v>31</v>
      </c>
      <c r="D18" s="19">
        <f>22/1000</f>
        <v>2.1999999999999999E-2</v>
      </c>
      <c r="E18" s="18"/>
      <c r="F18" s="20" t="s">
        <v>32</v>
      </c>
      <c r="G18" s="21">
        <f>SLOPE(N2:N10,M2:M10)</f>
        <v>0.26840386426472007</v>
      </c>
      <c r="J18" s="18"/>
      <c r="K18" s="18"/>
      <c r="L18" s="18"/>
      <c r="M18" s="18"/>
      <c r="N18" s="18"/>
    </row>
    <row r="19" spans="1:14" ht="47.25" x14ac:dyDescent="0.5">
      <c r="A19" s="18"/>
      <c r="B19" s="18"/>
      <c r="C19" s="22" t="s">
        <v>36</v>
      </c>
      <c r="D19" s="23">
        <v>4.4999999999999998E-2</v>
      </c>
      <c r="E19" s="18"/>
      <c r="F19" s="24" t="s">
        <v>54</v>
      </c>
      <c r="G19" s="25">
        <f>INTERCEPT(N2:N10,M2:M10)</f>
        <v>213.31698047589794</v>
      </c>
      <c r="J19" s="18"/>
      <c r="K19" s="18"/>
      <c r="L19" s="18"/>
      <c r="M19" s="18"/>
      <c r="N19" s="18"/>
    </row>
    <row r="20" spans="1:14" ht="31.5" x14ac:dyDescent="0.5">
      <c r="A20" s="18"/>
      <c r="B20" s="18"/>
      <c r="C20" s="22" t="s">
        <v>42</v>
      </c>
      <c r="D20" s="22">
        <f>((47.1)/(15))/763.452</f>
        <v>4.1128977329288547E-3</v>
      </c>
      <c r="E20" s="18"/>
      <c r="F20" s="24" t="s">
        <v>55</v>
      </c>
      <c r="G20" s="25">
        <f>(-1*INTERCEPT(N2:N5, M2:M5))/SLOPE(N2:N5, M2:M5)</f>
        <v>-794.76121202751642</v>
      </c>
      <c r="J20" s="18"/>
      <c r="K20" s="18"/>
      <c r="L20" s="18"/>
      <c r="M20" s="18"/>
      <c r="N20" s="18"/>
    </row>
    <row r="21" spans="1:14" ht="31.5" x14ac:dyDescent="0.5">
      <c r="A21" s="18"/>
      <c r="B21" s="18"/>
      <c r="C21" s="22" t="s">
        <v>40</v>
      </c>
      <c r="D21" s="22">
        <f>(100)*0.0041</f>
        <v>0.41000000000000003</v>
      </c>
      <c r="E21" s="18"/>
      <c r="F21" s="18"/>
      <c r="G21" s="18"/>
      <c r="J21" s="18"/>
      <c r="K21" s="18"/>
      <c r="L21" s="18"/>
      <c r="M21" s="18"/>
      <c r="N21" s="18"/>
    </row>
    <row r="22" spans="1:14" ht="47.25" x14ac:dyDescent="0.5">
      <c r="A22" s="18"/>
      <c r="B22" s="18"/>
      <c r="C22" s="22" t="s">
        <v>43</v>
      </c>
      <c r="D22" s="22">
        <v>0.1</v>
      </c>
      <c r="E22" s="18"/>
      <c r="F22" s="18"/>
      <c r="G22" s="18"/>
      <c r="J22" s="18"/>
      <c r="K22" s="18"/>
      <c r="L22" s="18"/>
      <c r="M22" s="18"/>
      <c r="N22" s="18"/>
    </row>
    <row r="23" spans="1:14" x14ac:dyDescent="0.5">
      <c r="A23" s="18"/>
      <c r="B23" s="18"/>
      <c r="C23" s="18"/>
      <c r="D23" s="18"/>
      <c r="E23" s="18"/>
      <c r="F23" s="26" t="s">
        <v>34</v>
      </c>
      <c r="G23" s="27">
        <f>-1/G20</f>
        <v>1.258239562860521E-3</v>
      </c>
      <c r="J23" s="18"/>
      <c r="K23" s="18"/>
      <c r="L23" s="18"/>
      <c r="M23" s="18"/>
      <c r="N23" s="18"/>
    </row>
    <row r="24" spans="1:14" x14ac:dyDescent="0.5">
      <c r="A24" s="18"/>
      <c r="B24" s="18"/>
      <c r="C24" s="18"/>
      <c r="D24" s="18"/>
      <c r="E24" s="18"/>
      <c r="F24" s="28" t="s">
        <v>35</v>
      </c>
      <c r="G24" s="29">
        <f>1/G19</f>
        <v>4.6878593432602388E-3</v>
      </c>
      <c r="J24" s="18"/>
      <c r="K24" s="18"/>
      <c r="L24" s="18"/>
      <c r="M24" s="18"/>
      <c r="N24" s="18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9AF7-78C5-4734-AA50-53C6E4D5CCC2}">
  <dimension ref="A1:N24"/>
  <sheetViews>
    <sheetView zoomScale="63" zoomScaleNormal="135" workbookViewId="0">
      <selection activeCell="H14" sqref="H14"/>
    </sheetView>
  </sheetViews>
  <sheetFormatPr defaultColWidth="11" defaultRowHeight="15.75" x14ac:dyDescent="0.5"/>
  <cols>
    <col min="1" max="1" width="12.9375" bestFit="1" customWidth="1"/>
    <col min="2" max="2" width="14" customWidth="1"/>
    <col min="3" max="3" width="12.8125" customWidth="1"/>
    <col min="4" max="4" width="16.1875" customWidth="1"/>
    <col min="6" max="6" width="18.6875" customWidth="1"/>
    <col min="7" max="7" width="15.3125" bestFit="1" customWidth="1"/>
    <col min="8" max="8" width="14.3125" customWidth="1"/>
    <col min="9" max="9" width="17.1875" customWidth="1"/>
    <col min="10" max="10" width="18.5" customWidth="1"/>
  </cols>
  <sheetData>
    <row r="1" spans="1:14" ht="47.25" x14ac:dyDescent="0.5">
      <c r="A1" s="13" t="s">
        <v>19</v>
      </c>
      <c r="B1" s="14" t="s">
        <v>41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44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</row>
    <row r="2" spans="1:14" x14ac:dyDescent="0.5">
      <c r="A2" s="15">
        <v>1</v>
      </c>
      <c r="B2" s="16">
        <f>($H$2*G2)/$D$22</f>
        <v>26.399999999999995</v>
      </c>
      <c r="C2" s="16">
        <f>D21/D20</f>
        <v>99.686407643312108</v>
      </c>
      <c r="D2" s="16">
        <v>400</v>
      </c>
      <c r="E2" s="17">
        <v>100</v>
      </c>
      <c r="F2" s="16">
        <f>G2-(B2+D2+E2+C2)</f>
        <v>623.9135923566879</v>
      </c>
      <c r="G2" s="17">
        <v>1250</v>
      </c>
      <c r="H2" s="17">
        <f>0.3*$J$2</f>
        <v>2.1119999999999997E-3</v>
      </c>
      <c r="I2" s="17">
        <f t="shared" ref="I2:I5" si="0">($D$19*E2)/G2</f>
        <v>3.5999999999999999E-3</v>
      </c>
      <c r="J2" s="17">
        <f>($D$18*D2)/G2</f>
        <v>7.0399999999999994E-3</v>
      </c>
      <c r="K2" s="17">
        <v>-2.163E-2</v>
      </c>
      <c r="L2" s="17">
        <f t="shared" ref="L2:L5" si="1">-K2</f>
        <v>2.163E-2</v>
      </c>
      <c r="M2" s="17">
        <f>1/J2</f>
        <v>142.04545454545456</v>
      </c>
      <c r="N2" s="17">
        <f>1/L2</f>
        <v>46.232085067036522</v>
      </c>
    </row>
    <row r="3" spans="1:14" x14ac:dyDescent="0.5">
      <c r="A3" s="15">
        <v>2</v>
      </c>
      <c r="B3" s="16">
        <f t="shared" ref="B3:B5" si="2">($H$2*G3)/$D$22</f>
        <v>26.399999999999995</v>
      </c>
      <c r="C3" s="16">
        <f>C2</f>
        <v>99.686407643312108</v>
      </c>
      <c r="D3" s="16">
        <v>100</v>
      </c>
      <c r="E3" s="17">
        <v>100</v>
      </c>
      <c r="F3" s="16">
        <f>G3-(B3+D3+E3+C3)</f>
        <v>923.9135923566879</v>
      </c>
      <c r="G3" s="17">
        <v>1250</v>
      </c>
      <c r="H3" s="17">
        <f t="shared" ref="H3:H5" si="3">0.3*$J$2</f>
        <v>2.1119999999999997E-3</v>
      </c>
      <c r="I3" s="17">
        <f t="shared" si="0"/>
        <v>3.5999999999999999E-3</v>
      </c>
      <c r="J3" s="17">
        <f t="shared" ref="J3:J5" si="4">($D$18*D3)/G3</f>
        <v>1.7599999999999998E-3</v>
      </c>
      <c r="K3" s="17">
        <v>-9.044E-3</v>
      </c>
      <c r="L3" s="17">
        <f t="shared" si="1"/>
        <v>9.044E-3</v>
      </c>
      <c r="M3" s="17">
        <f t="shared" ref="M3:M5" si="5">1/J3</f>
        <v>568.18181818181824</v>
      </c>
      <c r="N3" s="17">
        <f t="shared" ref="N3:N5" si="6">1/L3</f>
        <v>110.57054400707652</v>
      </c>
    </row>
    <row r="4" spans="1:14" x14ac:dyDescent="0.5">
      <c r="A4" s="15">
        <v>3</v>
      </c>
      <c r="B4" s="16">
        <f t="shared" si="2"/>
        <v>26.399999999999995</v>
      </c>
      <c r="C4" s="16">
        <f t="shared" ref="C4:C5" si="7">C3</f>
        <v>99.686407643312108</v>
      </c>
      <c r="D4" s="16">
        <v>50</v>
      </c>
      <c r="E4" s="17">
        <v>100</v>
      </c>
      <c r="F4" s="16">
        <f t="shared" ref="F4:F5" si="8">G4-(B4+D4+E4+C4)</f>
        <v>973.9135923566879</v>
      </c>
      <c r="G4" s="17">
        <v>1250</v>
      </c>
      <c r="H4" s="17">
        <f t="shared" si="3"/>
        <v>2.1119999999999997E-3</v>
      </c>
      <c r="I4" s="17">
        <f t="shared" si="0"/>
        <v>3.5999999999999999E-3</v>
      </c>
      <c r="J4" s="17">
        <f t="shared" si="4"/>
        <v>8.7999999999999992E-4</v>
      </c>
      <c r="K4" s="17">
        <v>-1.786E-3</v>
      </c>
      <c r="L4" s="17">
        <f t="shared" si="1"/>
        <v>1.786E-3</v>
      </c>
      <c r="M4" s="17">
        <f>1/J4</f>
        <v>1136.3636363636365</v>
      </c>
      <c r="N4" s="17">
        <f t="shared" si="6"/>
        <v>559.91041433370663</v>
      </c>
    </row>
    <row r="5" spans="1:14" ht="19.05" customHeight="1" x14ac:dyDescent="0.5">
      <c r="A5" s="15">
        <v>4</v>
      </c>
      <c r="B5" s="16">
        <f t="shared" si="2"/>
        <v>26.399999999999995</v>
      </c>
      <c r="C5" s="16">
        <f t="shared" si="7"/>
        <v>99.686407643312108</v>
      </c>
      <c r="D5" s="16">
        <v>25</v>
      </c>
      <c r="E5" s="17">
        <v>100</v>
      </c>
      <c r="F5" s="16">
        <f t="shared" si="8"/>
        <v>998.9135923566879</v>
      </c>
      <c r="G5" s="17">
        <v>1250</v>
      </c>
      <c r="H5" s="17">
        <f t="shared" si="3"/>
        <v>2.1119999999999997E-3</v>
      </c>
      <c r="I5" s="17">
        <f t="shared" si="0"/>
        <v>3.5999999999999999E-3</v>
      </c>
      <c r="J5" s="17">
        <f t="shared" si="4"/>
        <v>4.3999999999999996E-4</v>
      </c>
      <c r="K5" s="17">
        <v>-1.5499999999999999E-3</v>
      </c>
      <c r="L5" s="17">
        <f t="shared" si="1"/>
        <v>1.5499999999999999E-3</v>
      </c>
      <c r="M5" s="17">
        <f t="shared" si="5"/>
        <v>2272.727272727273</v>
      </c>
      <c r="N5" s="17">
        <f t="shared" si="6"/>
        <v>645.16129032258061</v>
      </c>
    </row>
    <row r="6" spans="1:14" x14ac:dyDescent="0.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4" x14ac:dyDescent="0.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4" x14ac:dyDescent="0.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4" x14ac:dyDescent="0.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4" x14ac:dyDescent="0.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4" x14ac:dyDescent="0.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4" x14ac:dyDescent="0.5">
      <c r="A12" s="18"/>
      <c r="B12" s="18"/>
      <c r="C12" s="18"/>
      <c r="D12" s="18"/>
      <c r="E12" s="18"/>
      <c r="F12" s="30"/>
      <c r="G12" s="18"/>
      <c r="H12" s="18"/>
      <c r="I12" s="18"/>
      <c r="J12" s="18"/>
      <c r="K12" s="18"/>
      <c r="L12" s="18"/>
      <c r="M12" s="18"/>
      <c r="N12" s="18"/>
    </row>
    <row r="13" spans="1:14" x14ac:dyDescent="0.5">
      <c r="A13" s="18"/>
      <c r="B13" s="18"/>
      <c r="C13" s="18"/>
      <c r="D13" s="18"/>
      <c r="E13" s="18"/>
      <c r="F13" s="18"/>
      <c r="G13" s="18"/>
      <c r="H13" s="18"/>
      <c r="I13" s="18"/>
      <c r="J13" s="18" t="s">
        <v>38</v>
      </c>
      <c r="K13" s="18"/>
      <c r="L13" s="18"/>
      <c r="M13" s="18"/>
      <c r="N13" s="18"/>
    </row>
    <row r="14" spans="1:14" x14ac:dyDescent="0.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x14ac:dyDescent="0.5">
      <c r="A15" s="18"/>
      <c r="B15" s="18"/>
      <c r="C15" s="18"/>
      <c r="D15" s="18"/>
      <c r="E15" s="18"/>
      <c r="F15" s="18"/>
      <c r="G15" s="18"/>
      <c r="J15" s="18"/>
      <c r="K15" s="18"/>
      <c r="L15" s="18"/>
      <c r="M15" s="18"/>
      <c r="N15" s="18"/>
    </row>
    <row r="16" spans="1:14" x14ac:dyDescent="0.5">
      <c r="A16" s="18"/>
      <c r="B16" s="18"/>
      <c r="C16" s="18"/>
      <c r="D16" s="18"/>
      <c r="E16" s="18"/>
      <c r="F16" s="18"/>
      <c r="G16" s="18"/>
      <c r="J16" s="18"/>
      <c r="K16" s="18"/>
      <c r="L16" s="18"/>
      <c r="M16" s="18"/>
      <c r="N16" s="18"/>
    </row>
    <row r="17" spans="1:14" x14ac:dyDescent="0.5">
      <c r="A17" s="18"/>
      <c r="B17" s="18"/>
      <c r="C17" s="18"/>
      <c r="D17" s="18"/>
      <c r="E17" s="18"/>
      <c r="F17" s="18"/>
      <c r="G17" s="18"/>
      <c r="J17" s="18"/>
      <c r="K17" s="18"/>
      <c r="L17" s="18"/>
      <c r="M17" s="18"/>
      <c r="N17" s="18"/>
    </row>
    <row r="18" spans="1:14" ht="63" x14ac:dyDescent="0.5">
      <c r="A18" s="18"/>
      <c r="B18" s="18"/>
      <c r="C18" s="19" t="s">
        <v>31</v>
      </c>
      <c r="D18" s="19">
        <f>22/1000</f>
        <v>2.1999999999999999E-2</v>
      </c>
      <c r="E18" s="18"/>
      <c r="F18" s="20" t="s">
        <v>32</v>
      </c>
      <c r="G18" s="21">
        <f>SLOPE(N2:N10,M2:M10)</f>
        <v>0.30086151228182573</v>
      </c>
      <c r="J18" s="18"/>
      <c r="K18" s="18"/>
      <c r="L18" s="18"/>
      <c r="M18" s="18"/>
      <c r="N18" s="18"/>
    </row>
    <row r="19" spans="1:14" ht="47.25" x14ac:dyDescent="0.5">
      <c r="A19" s="18"/>
      <c r="B19" s="18"/>
      <c r="C19" s="22" t="s">
        <v>36</v>
      </c>
      <c r="D19" s="23">
        <v>4.4999999999999998E-2</v>
      </c>
      <c r="E19" s="18"/>
      <c r="F19" s="24" t="s">
        <v>54</v>
      </c>
      <c r="G19" s="25">
        <f>INTERCEPT(N2:N10,M2:M10)</f>
        <v>30.632508994640375</v>
      </c>
      <c r="J19" s="18"/>
      <c r="K19" s="18"/>
      <c r="L19" s="18"/>
      <c r="M19" s="18"/>
      <c r="N19" s="18"/>
    </row>
    <row r="20" spans="1:14" ht="31.5" x14ac:dyDescent="0.5">
      <c r="A20" s="18"/>
      <c r="B20" s="18"/>
      <c r="C20" s="22" t="s">
        <v>42</v>
      </c>
      <c r="D20" s="22">
        <f>((47.1)/(15))/763.452</f>
        <v>4.1128977329288547E-3</v>
      </c>
      <c r="E20" s="18"/>
      <c r="F20" s="24" t="s">
        <v>55</v>
      </c>
      <c r="G20" s="25">
        <f>(-1*INTERCEPT(N2:N5, M2:M5))/SLOPE(N2:N5, M2:M5)</f>
        <v>-101.81597759817816</v>
      </c>
      <c r="J20" s="18"/>
      <c r="K20" s="18"/>
      <c r="L20" s="18"/>
      <c r="M20" s="18"/>
      <c r="N20" s="18"/>
    </row>
    <row r="21" spans="1:14" ht="31.5" x14ac:dyDescent="0.5">
      <c r="A21" s="18"/>
      <c r="B21" s="18"/>
      <c r="C21" s="22" t="s">
        <v>40</v>
      </c>
      <c r="D21" s="22">
        <f>(100)*0.0041</f>
        <v>0.41000000000000003</v>
      </c>
      <c r="E21" s="18"/>
      <c r="F21" s="18"/>
      <c r="G21" s="18"/>
      <c r="J21" s="18"/>
      <c r="K21" s="18"/>
      <c r="L21" s="18"/>
      <c r="M21" s="18"/>
      <c r="N21" s="18"/>
    </row>
    <row r="22" spans="1:14" ht="47.25" x14ac:dyDescent="0.5">
      <c r="A22" s="18"/>
      <c r="B22" s="18"/>
      <c r="C22" s="22" t="s">
        <v>43</v>
      </c>
      <c r="D22" s="22">
        <v>0.1</v>
      </c>
      <c r="E22" s="18"/>
      <c r="F22" s="18"/>
      <c r="G22" s="18"/>
      <c r="J22" s="18"/>
      <c r="K22" s="18"/>
      <c r="L22" s="18"/>
      <c r="M22" s="18"/>
      <c r="N22" s="18"/>
    </row>
    <row r="23" spans="1:14" x14ac:dyDescent="0.5">
      <c r="A23" s="18"/>
      <c r="B23" s="18"/>
      <c r="C23" s="18"/>
      <c r="D23" s="18"/>
      <c r="E23" s="18"/>
      <c r="F23" s="26" t="s">
        <v>34</v>
      </c>
      <c r="G23" s="38">
        <f>-1/G20</f>
        <v>9.8216411961052907E-3</v>
      </c>
      <c r="J23" s="18"/>
      <c r="K23" s="18"/>
      <c r="L23" s="18"/>
      <c r="M23" s="18"/>
      <c r="N23" s="18"/>
    </row>
    <row r="24" spans="1:14" x14ac:dyDescent="0.5">
      <c r="A24" s="18"/>
      <c r="B24" s="18"/>
      <c r="C24" s="18"/>
      <c r="D24" s="18"/>
      <c r="E24" s="18"/>
      <c r="F24" s="28" t="s">
        <v>35</v>
      </c>
      <c r="G24" s="29">
        <f>1/G19</f>
        <v>3.2645056928734283E-2</v>
      </c>
      <c r="J24" s="18"/>
      <c r="K24" s="18"/>
      <c r="L24" s="18"/>
      <c r="M24" s="18"/>
      <c r="N24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0687-F05A-417C-B696-D00AC731101C}">
  <dimension ref="A1:N24"/>
  <sheetViews>
    <sheetView zoomScale="67" zoomScaleNormal="135" workbookViewId="0">
      <selection sqref="A1:J5"/>
    </sheetView>
  </sheetViews>
  <sheetFormatPr defaultColWidth="11" defaultRowHeight="15.75" x14ac:dyDescent="0.5"/>
  <cols>
    <col min="1" max="1" width="12.625" bestFit="1" customWidth="1"/>
    <col min="2" max="2" width="14" customWidth="1"/>
    <col min="3" max="3" width="12.8125" customWidth="1"/>
    <col min="4" max="4" width="16.1875" customWidth="1"/>
    <col min="6" max="6" width="18.6875" customWidth="1"/>
    <col min="7" max="7" width="15.3125" bestFit="1" customWidth="1"/>
    <col min="8" max="8" width="14.3125" customWidth="1"/>
    <col min="9" max="9" width="17.1875" customWidth="1"/>
    <col min="10" max="10" width="18.5" customWidth="1"/>
  </cols>
  <sheetData>
    <row r="1" spans="1:14" ht="47.25" x14ac:dyDescent="0.5">
      <c r="A1" s="13" t="s">
        <v>19</v>
      </c>
      <c r="B1" s="14" t="s">
        <v>41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44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</row>
    <row r="2" spans="1:14" x14ac:dyDescent="0.5">
      <c r="A2" s="15">
        <v>1</v>
      </c>
      <c r="B2" s="16">
        <f>($H$2*G2)/$D$22</f>
        <v>8.7999999999999989</v>
      </c>
      <c r="C2" s="16">
        <f>D21/D20</f>
        <v>99.686407643312108</v>
      </c>
      <c r="D2" s="16">
        <v>400</v>
      </c>
      <c r="E2" s="17">
        <v>100</v>
      </c>
      <c r="F2" s="16">
        <f>G2-(B2+D2+E2+C2)</f>
        <v>641.51359235668792</v>
      </c>
      <c r="G2" s="17">
        <v>1250</v>
      </c>
      <c r="H2" s="17">
        <f>0.1*$J$2</f>
        <v>7.0399999999999998E-4</v>
      </c>
      <c r="I2" s="17">
        <f t="shared" ref="I2:I5" si="0">($D$19*E2)/G2</f>
        <v>3.5999999999999999E-3</v>
      </c>
      <c r="J2" s="17">
        <f>($D$18*D2)/G2</f>
        <v>7.0399999999999994E-3</v>
      </c>
      <c r="K2" s="17">
        <v>-1.2189999999999999E-2</v>
      </c>
      <c r="L2" s="17">
        <f t="shared" ref="L2:L5" si="1">-K2</f>
        <v>1.2189999999999999E-2</v>
      </c>
      <c r="M2" s="17">
        <f>1/J2</f>
        <v>142.04545454545456</v>
      </c>
      <c r="N2" s="17">
        <f>1/L2</f>
        <v>82.034454470877776</v>
      </c>
    </row>
    <row r="3" spans="1:14" x14ac:dyDescent="0.5">
      <c r="A3" s="15">
        <v>2</v>
      </c>
      <c r="B3" s="16">
        <f t="shared" ref="B3:B5" si="2">($H$2*G3)/$D$22</f>
        <v>8.7999999999999989</v>
      </c>
      <c r="C3" s="16">
        <f>C2</f>
        <v>99.686407643312108</v>
      </c>
      <c r="D3" s="16">
        <v>100</v>
      </c>
      <c r="E3" s="17">
        <v>100</v>
      </c>
      <c r="F3" s="16">
        <f>G3-(B3+D3+E3+C3)</f>
        <v>941.51359235668792</v>
      </c>
      <c r="G3" s="17">
        <v>1250</v>
      </c>
      <c r="H3" s="17">
        <f t="shared" ref="H3:H5" si="3">0.1*$J$2</f>
        <v>7.0399999999999998E-4</v>
      </c>
      <c r="I3" s="17">
        <f t="shared" si="0"/>
        <v>3.5999999999999999E-3</v>
      </c>
      <c r="J3" s="17">
        <f t="shared" ref="J3:J5" si="4">($D$18*D3)/G3</f>
        <v>1.7599999999999998E-3</v>
      </c>
      <c r="K3" s="17">
        <v>-6.1199999999999996E-3</v>
      </c>
      <c r="L3" s="17">
        <f t="shared" si="1"/>
        <v>6.1199999999999996E-3</v>
      </c>
      <c r="M3" s="17">
        <f t="shared" ref="M3:M5" si="5">1/J3</f>
        <v>568.18181818181824</v>
      </c>
      <c r="N3" s="17">
        <f t="shared" ref="N3:N5" si="6">1/L3</f>
        <v>163.39869281045753</v>
      </c>
    </row>
    <row r="4" spans="1:14" x14ac:dyDescent="0.5">
      <c r="A4" s="15">
        <v>3</v>
      </c>
      <c r="B4" s="16">
        <f t="shared" si="2"/>
        <v>8.7999999999999989</v>
      </c>
      <c r="C4" s="16">
        <f t="shared" ref="C4:C5" si="7">C3</f>
        <v>99.686407643312108</v>
      </c>
      <c r="D4" s="16">
        <v>50</v>
      </c>
      <c r="E4" s="17">
        <v>100</v>
      </c>
      <c r="F4" s="16">
        <f t="shared" ref="F4:F5" si="8">G4-(B4+D4+E4+C4)</f>
        <v>991.51359235668792</v>
      </c>
      <c r="G4" s="17">
        <v>1250</v>
      </c>
      <c r="H4" s="17">
        <f t="shared" si="3"/>
        <v>7.0399999999999998E-4</v>
      </c>
      <c r="I4" s="17">
        <f t="shared" si="0"/>
        <v>3.5999999999999999E-3</v>
      </c>
      <c r="J4" s="17">
        <f t="shared" si="4"/>
        <v>8.7999999999999992E-4</v>
      </c>
      <c r="K4" s="17">
        <v>-4.8609999999999999E-3</v>
      </c>
      <c r="L4" s="17">
        <f t="shared" si="1"/>
        <v>4.8609999999999999E-3</v>
      </c>
      <c r="M4" s="17">
        <f t="shared" si="5"/>
        <v>1136.3636363636365</v>
      </c>
      <c r="N4" s="17">
        <f t="shared" si="6"/>
        <v>205.71898786257972</v>
      </c>
    </row>
    <row r="5" spans="1:14" ht="19.05" customHeight="1" x14ac:dyDescent="0.5">
      <c r="A5" s="15">
        <v>4</v>
      </c>
      <c r="B5" s="16">
        <f t="shared" si="2"/>
        <v>8.7999999999999989</v>
      </c>
      <c r="C5" s="16">
        <f t="shared" si="7"/>
        <v>99.686407643312108</v>
      </c>
      <c r="D5" s="16">
        <v>25</v>
      </c>
      <c r="E5" s="17">
        <v>100</v>
      </c>
      <c r="F5" s="16">
        <f t="shared" si="8"/>
        <v>1016.5135923566879</v>
      </c>
      <c r="G5" s="17">
        <v>1250</v>
      </c>
      <c r="H5" s="17">
        <f t="shared" si="3"/>
        <v>7.0399999999999998E-4</v>
      </c>
      <c r="I5" s="17">
        <f t="shared" si="0"/>
        <v>3.5999999999999999E-3</v>
      </c>
      <c r="J5" s="17">
        <f t="shared" si="4"/>
        <v>4.3999999999999996E-4</v>
      </c>
      <c r="K5" s="17">
        <v>-3.0240000000000002E-3</v>
      </c>
      <c r="L5" s="17">
        <f t="shared" si="1"/>
        <v>3.0240000000000002E-3</v>
      </c>
      <c r="M5" s="17">
        <f t="shared" si="5"/>
        <v>2272.727272727273</v>
      </c>
      <c r="N5" s="17">
        <f t="shared" si="6"/>
        <v>330.68783068783068</v>
      </c>
    </row>
    <row r="6" spans="1:14" x14ac:dyDescent="0.5">
      <c r="A6" s="18"/>
      <c r="B6" s="18"/>
      <c r="C6" s="18"/>
      <c r="D6" s="18"/>
      <c r="E6" s="18"/>
      <c r="F6" s="49"/>
      <c r="G6" s="18"/>
      <c r="H6" s="18"/>
      <c r="I6" s="18"/>
      <c r="J6" s="18"/>
      <c r="K6" s="18"/>
      <c r="L6" s="18"/>
      <c r="M6" s="18"/>
    </row>
    <row r="7" spans="1:14" x14ac:dyDescent="0.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4" x14ac:dyDescent="0.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4" x14ac:dyDescent="0.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4" x14ac:dyDescent="0.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4" x14ac:dyDescent="0.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4" x14ac:dyDescent="0.5">
      <c r="A12" s="18"/>
      <c r="B12" s="18"/>
      <c r="C12" s="18"/>
      <c r="D12" s="18"/>
      <c r="E12" s="18"/>
      <c r="F12" s="30"/>
      <c r="G12" s="18"/>
      <c r="H12" s="18"/>
      <c r="I12" s="18"/>
      <c r="J12" s="18"/>
      <c r="K12" s="18"/>
      <c r="L12" s="18"/>
      <c r="M12" s="18"/>
      <c r="N12" s="18"/>
    </row>
    <row r="13" spans="1:14" x14ac:dyDescent="0.5">
      <c r="A13" s="18"/>
      <c r="B13" s="18"/>
      <c r="C13" s="18"/>
      <c r="D13" s="18"/>
      <c r="E13" s="18"/>
      <c r="F13" s="18"/>
      <c r="G13" s="18"/>
      <c r="H13" s="18"/>
      <c r="I13" s="18"/>
      <c r="J13" s="18" t="s">
        <v>38</v>
      </c>
      <c r="K13" s="18"/>
      <c r="L13" s="18"/>
      <c r="M13" s="18"/>
      <c r="N13" s="18"/>
    </row>
    <row r="14" spans="1:14" x14ac:dyDescent="0.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x14ac:dyDescent="0.5">
      <c r="A15" s="18"/>
      <c r="B15" s="18"/>
      <c r="C15" s="18"/>
      <c r="D15" s="18"/>
      <c r="E15" s="18"/>
      <c r="F15" s="18"/>
      <c r="G15" s="18"/>
      <c r="J15" s="18"/>
      <c r="K15" s="18"/>
      <c r="L15" s="18"/>
      <c r="M15" s="18"/>
      <c r="N15" s="18"/>
    </row>
    <row r="16" spans="1:14" x14ac:dyDescent="0.5">
      <c r="A16" s="18"/>
      <c r="B16" s="18"/>
      <c r="C16" s="18"/>
      <c r="D16" s="18"/>
      <c r="E16" s="18"/>
      <c r="F16" s="18"/>
      <c r="G16" s="18"/>
      <c r="J16" s="18"/>
      <c r="K16" s="18"/>
      <c r="L16" s="18"/>
      <c r="M16" s="18"/>
      <c r="N16" s="18"/>
    </row>
    <row r="17" spans="1:14" x14ac:dyDescent="0.5">
      <c r="A17" s="18"/>
      <c r="B17" s="18"/>
      <c r="C17" s="18"/>
      <c r="D17" s="18"/>
      <c r="E17" s="18"/>
      <c r="F17" s="18"/>
      <c r="G17" s="18"/>
      <c r="J17" s="18"/>
      <c r="K17" s="18"/>
      <c r="L17" s="18"/>
      <c r="M17" s="18"/>
      <c r="N17" s="18"/>
    </row>
    <row r="18" spans="1:14" ht="63" x14ac:dyDescent="0.5">
      <c r="A18" s="18"/>
      <c r="B18" s="18"/>
      <c r="C18" s="19" t="s">
        <v>31</v>
      </c>
      <c r="D18" s="19">
        <f>22/1000</f>
        <v>2.1999999999999999E-2</v>
      </c>
      <c r="E18" s="18"/>
      <c r="F18" s="20" t="s">
        <v>32</v>
      </c>
      <c r="G18" s="21">
        <f>SLOPE(N2:N10,M2:M10)</f>
        <v>0.11130957426479604</v>
      </c>
      <c r="J18" s="18"/>
      <c r="K18" s="18"/>
      <c r="L18" s="18"/>
      <c r="M18" s="18"/>
      <c r="N18" s="18"/>
    </row>
    <row r="19" spans="1:14" ht="47.25" x14ac:dyDescent="0.5">
      <c r="A19" s="18"/>
      <c r="B19" s="18"/>
      <c r="C19" s="22" t="s">
        <v>36</v>
      </c>
      <c r="D19" s="23">
        <v>4.4999999999999998E-2</v>
      </c>
      <c r="E19" s="18"/>
      <c r="F19" s="24" t="s">
        <v>54</v>
      </c>
      <c r="G19" s="25">
        <f>INTERCEPT(N2:N10,M2:M10)</f>
        <v>80.83010318808256</v>
      </c>
      <c r="J19" s="18"/>
      <c r="K19" s="18"/>
      <c r="L19" s="18"/>
      <c r="M19" s="18"/>
      <c r="N19" s="18"/>
    </row>
    <row r="20" spans="1:14" ht="31.5" x14ac:dyDescent="0.5">
      <c r="A20" s="18"/>
      <c r="B20" s="18"/>
      <c r="C20" s="22" t="s">
        <v>42</v>
      </c>
      <c r="D20" s="22">
        <f>((47.1)/(15))/763.452</f>
        <v>4.1128977329288547E-3</v>
      </c>
      <c r="E20" s="18"/>
      <c r="F20" s="24" t="s">
        <v>55</v>
      </c>
      <c r="G20" s="25">
        <f>(-1*INTERCEPT(N2:N5, M2:M5))/SLOPE(N2:N5, M2:M5)</f>
        <v>-726.17385990350294</v>
      </c>
      <c r="J20" s="18"/>
      <c r="K20" s="18"/>
      <c r="L20" s="18"/>
      <c r="M20" s="18"/>
      <c r="N20" s="18"/>
    </row>
    <row r="21" spans="1:14" ht="31.5" x14ac:dyDescent="0.5">
      <c r="A21" s="18"/>
      <c r="B21" s="18"/>
      <c r="C21" s="22" t="s">
        <v>40</v>
      </c>
      <c r="D21" s="22">
        <f>(100)*0.0041</f>
        <v>0.41000000000000003</v>
      </c>
      <c r="E21" s="18"/>
      <c r="F21" s="18"/>
      <c r="G21" s="18"/>
      <c r="J21" s="18"/>
      <c r="K21" s="18"/>
      <c r="L21" s="18"/>
      <c r="M21" s="18"/>
      <c r="N21" s="18"/>
    </row>
    <row r="22" spans="1:14" ht="47.25" x14ac:dyDescent="0.5">
      <c r="A22" s="18"/>
      <c r="B22" s="18"/>
      <c r="C22" s="22" t="s">
        <v>43</v>
      </c>
      <c r="D22" s="22">
        <v>0.1</v>
      </c>
      <c r="E22" s="18"/>
      <c r="F22" s="18"/>
      <c r="G22" s="18"/>
      <c r="J22" s="18"/>
      <c r="K22" s="18"/>
      <c r="L22" s="18"/>
      <c r="M22" s="18"/>
      <c r="N22" s="18"/>
    </row>
    <row r="23" spans="1:14" x14ac:dyDescent="0.5">
      <c r="A23" s="18"/>
      <c r="B23" s="18"/>
      <c r="C23" s="18"/>
      <c r="D23" s="18"/>
      <c r="E23" s="18"/>
      <c r="F23" s="26" t="s">
        <v>34</v>
      </c>
      <c r="G23" s="40">
        <f>-1/G20</f>
        <v>1.3770806899230498E-3</v>
      </c>
      <c r="J23" s="18"/>
      <c r="K23" s="18"/>
      <c r="L23" s="18"/>
      <c r="M23" s="18"/>
      <c r="N23" s="18"/>
    </row>
    <row r="24" spans="1:14" x14ac:dyDescent="0.5">
      <c r="A24" s="18"/>
      <c r="B24" s="18"/>
      <c r="C24" s="18"/>
      <c r="D24" s="18"/>
      <c r="E24" s="18"/>
      <c r="F24" s="28" t="s">
        <v>35</v>
      </c>
      <c r="G24" s="29">
        <f>1/G19</f>
        <v>1.2371628397815013E-2</v>
      </c>
      <c r="J24" s="18"/>
      <c r="K24" s="18"/>
      <c r="L24" s="18"/>
      <c r="M24" s="18"/>
      <c r="N24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DE70-14D3-4D35-9B70-87E27FF7EC73}">
  <dimension ref="A1:O41"/>
  <sheetViews>
    <sheetView zoomScale="46" zoomScaleNormal="135" workbookViewId="0">
      <selection activeCell="L14" sqref="L14"/>
    </sheetView>
  </sheetViews>
  <sheetFormatPr defaultColWidth="11" defaultRowHeight="15.75" x14ac:dyDescent="0.5"/>
  <cols>
    <col min="1" max="1" width="18.3125" customWidth="1"/>
    <col min="2" max="2" width="17.5" customWidth="1"/>
    <col min="4" max="4" width="14.6875" customWidth="1"/>
    <col min="5" max="5" width="16.5" customWidth="1"/>
    <col min="10" max="10" width="14.3125" customWidth="1"/>
    <col min="11" max="11" width="14.5" customWidth="1"/>
    <col min="15" max="15" width="9" customWidth="1"/>
  </cols>
  <sheetData>
    <row r="1" spans="1:15" x14ac:dyDescent="0.5">
      <c r="A1" s="55" t="s">
        <v>47</v>
      </c>
      <c r="B1" s="55"/>
      <c r="D1" s="55" t="s">
        <v>49</v>
      </c>
      <c r="E1" s="55"/>
      <c r="G1" s="55" t="s">
        <v>50</v>
      </c>
      <c r="H1" s="55"/>
      <c r="J1" s="56" t="s">
        <v>51</v>
      </c>
      <c r="K1" s="57"/>
    </row>
    <row r="2" spans="1:15" x14ac:dyDescent="0.5">
      <c r="A2" s="14" t="s">
        <v>29</v>
      </c>
      <c r="B2" s="14" t="s">
        <v>30</v>
      </c>
      <c r="D2" s="13" t="s">
        <v>29</v>
      </c>
      <c r="E2" s="14" t="s">
        <v>30</v>
      </c>
      <c r="G2" s="13" t="s">
        <v>29</v>
      </c>
      <c r="H2" s="14" t="s">
        <v>30</v>
      </c>
      <c r="J2" s="41" t="s">
        <v>29</v>
      </c>
      <c r="K2" s="14" t="s">
        <v>30</v>
      </c>
    </row>
    <row r="3" spans="1:15" x14ac:dyDescent="0.5">
      <c r="A3" s="17">
        <f>'Kinetics Assay Week 3'!K2</f>
        <v>142.04545454545456</v>
      </c>
      <c r="B3" s="17">
        <f>'Kinetics Assay Week 3'!L2</f>
        <v>28.661507595299515</v>
      </c>
      <c r="D3" s="35">
        <f>'Kinetics Week 3_Inhib2_c1 '!M2</f>
        <v>142.04545454545456</v>
      </c>
      <c r="E3" s="35">
        <f>'Kinetics Week 3_Inhib2_c1 '!N2</f>
        <v>257.86487880350694</v>
      </c>
      <c r="G3" s="35">
        <f>'Kinetics Week 3_Inhib2_c2'!M2</f>
        <v>142.04545454545456</v>
      </c>
      <c r="H3" s="35">
        <f>'Kinetics Week 3_Inhib2_c2'!N2</f>
        <v>46.232085067036522</v>
      </c>
      <c r="J3" s="15">
        <f>'Kinetics Week 3_Inhib2_c3'!M2</f>
        <v>142.04545454545456</v>
      </c>
      <c r="K3" s="17">
        <f>'Kinetics Week 3_Inhib2_c3'!N2</f>
        <v>82.034454470877776</v>
      </c>
    </row>
    <row r="4" spans="1:15" x14ac:dyDescent="0.5">
      <c r="A4" s="17">
        <f>'Kinetics Assay Week 3'!K3</f>
        <v>568.18181818181824</v>
      </c>
      <c r="B4" s="17">
        <f>'Kinetics Assay Week 3'!L3</f>
        <v>30.750307503075032</v>
      </c>
      <c r="D4" s="35">
        <f>'Kinetics Week 3_Inhib2_c1 '!M3</f>
        <v>568.18181818181824</v>
      </c>
      <c r="E4" s="35">
        <f>'Kinetics Week 3_Inhib2_c1 '!N3</f>
        <v>326.05151613955007</v>
      </c>
      <c r="G4" s="35">
        <f>'Kinetics Week 3_Inhib2_c2'!M3</f>
        <v>568.18181818181824</v>
      </c>
      <c r="H4" s="35">
        <f>'Kinetics Week 3_Inhib2_c2'!N3</f>
        <v>110.57054400707652</v>
      </c>
      <c r="J4" s="15">
        <f>'Kinetics Week 3_Inhib2_c3'!M3</f>
        <v>568.18181818181824</v>
      </c>
      <c r="K4" s="17">
        <f>'Kinetics Week 3_Inhib2_c3'!N3</f>
        <v>163.39869281045753</v>
      </c>
    </row>
    <row r="5" spans="1:15" x14ac:dyDescent="0.5">
      <c r="A5" s="17">
        <f>'Kinetics Assay Week 3'!K4</f>
        <v>1136.3636363636365</v>
      </c>
      <c r="B5" s="17">
        <f>'Kinetics Assay Week 3'!L4</f>
        <v>51.519835136527561</v>
      </c>
      <c r="D5" s="35">
        <f>'Kinetics Week 3_Inhib2_c1 '!M4</f>
        <v>1136.3636363636365</v>
      </c>
      <c r="E5" s="35">
        <f>'Kinetics Week 3_Inhib2_c1 '!N4</f>
        <v>565.93095642331639</v>
      </c>
      <c r="G5" s="35">
        <f>'Kinetics Week 3_Inhib2_c2'!M4</f>
        <v>1136.3636363636365</v>
      </c>
      <c r="H5" s="35">
        <f>'Kinetics Week 3_Inhib2_c2'!N4</f>
        <v>559.91041433370663</v>
      </c>
      <c r="J5" s="15">
        <f>'Kinetics Week 3_Inhib2_c3'!M4</f>
        <v>1136.3636363636365</v>
      </c>
      <c r="K5" s="17">
        <f>'Kinetics Week 3_Inhib2_c3'!N4</f>
        <v>205.71898786257972</v>
      </c>
    </row>
    <row r="6" spans="1:15" x14ac:dyDescent="0.5">
      <c r="A6" s="17">
        <f>'Kinetics Assay Week 3'!K5</f>
        <v>2272.727272727273</v>
      </c>
      <c r="B6" s="17">
        <f>'Kinetics Assay Week 3'!L5</f>
        <v>97.181729834791057</v>
      </c>
      <c r="D6" s="35">
        <f>'Kinetics Week 3_Inhib2_c1 '!M5</f>
        <v>2272.727272727273</v>
      </c>
      <c r="E6" s="35">
        <f>'Kinetics Week 3_Inhib2_c1 '!N5</f>
        <v>809.06148867313925</v>
      </c>
      <c r="G6" s="35">
        <f>'Kinetics Week 3_Inhib2_c2'!M5</f>
        <v>2272.727272727273</v>
      </c>
      <c r="H6" s="35">
        <f>'Kinetics Week 3_Inhib2_c2'!N5</f>
        <v>645.16129032258061</v>
      </c>
      <c r="J6" s="15">
        <f>'Kinetics Week 3_Inhib2_c3'!M5</f>
        <v>2272.727272727273</v>
      </c>
      <c r="K6" s="17">
        <f>'Kinetics Week 3_Inhib2_c3'!N5</f>
        <v>330.68783068783068</v>
      </c>
    </row>
    <row r="8" spans="1:15" x14ac:dyDescent="0.5">
      <c r="A8" s="44" t="s">
        <v>53</v>
      </c>
      <c r="B8" s="8">
        <f>-1/((-1*INTERCEPT(B3:B6, A3:A6))/SLOPE(B3:B6, A3:A6))</f>
        <v>1.9761655310739671E-3</v>
      </c>
      <c r="D8" s="44" t="s">
        <v>53</v>
      </c>
      <c r="E8" s="8">
        <f>-1/((-1*INTERCEPT(E3:E6, D3:D6))/SLOPE(E3:E6, D3:D6))</f>
        <v>1.258239562860521E-3</v>
      </c>
      <c r="G8" s="44" t="s">
        <v>53</v>
      </c>
      <c r="H8" s="8">
        <f>-1/((-1*INTERCEPT(H3:H6, G3:G6))/SLOPE(H3:H6, G3:G6))</f>
        <v>9.8216411961052907E-3</v>
      </c>
      <c r="J8" s="44" t="s">
        <v>53</v>
      </c>
      <c r="K8" s="8">
        <f>-1/((-1*INTERCEPT(K3:K6, J3:J6))/SLOPE(K3:K6, J3:J6))</f>
        <v>1.3770806899230498E-3</v>
      </c>
    </row>
    <row r="9" spans="1:15" x14ac:dyDescent="0.5">
      <c r="A9" s="44" t="s">
        <v>52</v>
      </c>
      <c r="B9" s="45">
        <f>1/INTERCEPT(B3:B6,A3:A6)</f>
        <v>5.8335771579750284E-2</v>
      </c>
      <c r="D9" s="44" t="s">
        <v>52</v>
      </c>
      <c r="E9" s="45">
        <f>1/INTERCEPT(E3:E6,D3:D6)</f>
        <v>4.6878593432602388E-3</v>
      </c>
      <c r="G9" s="44" t="s">
        <v>52</v>
      </c>
      <c r="H9" s="45">
        <f>1/INTERCEPT(H3:H6,G3:G6)</f>
        <v>3.2645056928734283E-2</v>
      </c>
      <c r="J9" s="44" t="s">
        <v>52</v>
      </c>
      <c r="K9" s="45">
        <f>1/INTERCEPT(K3:K6,J3:J6)</f>
        <v>1.2371628397815013E-2</v>
      </c>
    </row>
    <row r="15" spans="1:15" x14ac:dyDescent="0.5">
      <c r="L15" s="46"/>
      <c r="M15" s="46"/>
      <c r="N15" s="48" t="s">
        <v>56</v>
      </c>
      <c r="O15" s="47" t="s">
        <v>57</v>
      </c>
    </row>
    <row r="16" spans="1:15" x14ac:dyDescent="0.5">
      <c r="L16" s="55" t="s">
        <v>49</v>
      </c>
      <c r="M16" s="55"/>
      <c r="N16" s="6">
        <f>(E8*O16)/B8</f>
        <v>7.9231958409677139</v>
      </c>
      <c r="O16" s="6">
        <f>B9/E9</f>
        <v>12.444010647124031</v>
      </c>
    </row>
    <row r="17" spans="3:15" x14ac:dyDescent="0.5">
      <c r="L17" s="55" t="s">
        <v>50</v>
      </c>
      <c r="M17" s="55"/>
      <c r="N17" s="6">
        <f>(H8*O17)/B8</f>
        <v>8.8813351825201412</v>
      </c>
      <c r="O17" s="6">
        <f>B9/H9</f>
        <v>1.786971047625987</v>
      </c>
    </row>
    <row r="18" spans="3:15" x14ac:dyDescent="0.5">
      <c r="C18" s="43"/>
      <c r="D18" s="43"/>
      <c r="L18" s="58" t="s">
        <v>51</v>
      </c>
      <c r="M18" s="58"/>
      <c r="N18" s="6">
        <f>(K8*O18)/B8</f>
        <v>3.2858228710332416</v>
      </c>
      <c r="O18" s="6">
        <f>B9/K9</f>
        <v>4.7152864363476299</v>
      </c>
    </row>
    <row r="22" spans="3:15" x14ac:dyDescent="0.5">
      <c r="D22">
        <v>0.1</v>
      </c>
    </row>
    <row r="36" spans="1:11" x14ac:dyDescent="0.5">
      <c r="A36" s="55" t="s">
        <v>47</v>
      </c>
      <c r="B36" s="55"/>
      <c r="D36" s="55" t="s">
        <v>49</v>
      </c>
      <c r="E36" s="55"/>
      <c r="G36" s="55" t="s">
        <v>50</v>
      </c>
      <c r="H36" s="55"/>
      <c r="J36" s="56" t="s">
        <v>51</v>
      </c>
      <c r="K36" s="57"/>
    </row>
    <row r="37" spans="1:11" ht="47.25" x14ac:dyDescent="0.5">
      <c r="A37" s="14" t="s">
        <v>26</v>
      </c>
      <c r="B37" s="14" t="s">
        <v>28</v>
      </c>
      <c r="D37" s="13" t="s">
        <v>26</v>
      </c>
      <c r="E37" s="14" t="s">
        <v>28</v>
      </c>
      <c r="G37" s="13" t="s">
        <v>26</v>
      </c>
      <c r="H37" s="14" t="s">
        <v>28</v>
      </c>
      <c r="J37" s="41" t="s">
        <v>26</v>
      </c>
      <c r="K37" s="14" t="s">
        <v>28</v>
      </c>
    </row>
    <row r="38" spans="1:11" x14ac:dyDescent="0.5">
      <c r="A38" s="17">
        <v>7.0399999999999994E-3</v>
      </c>
      <c r="B38" s="17">
        <v>5.636E-2</v>
      </c>
      <c r="D38" s="17">
        <v>7.0399999999999994E-3</v>
      </c>
      <c r="E38" s="17">
        <v>2.1520000000000001E-2</v>
      </c>
      <c r="G38" s="35">
        <v>7.0399999999999994E-3</v>
      </c>
      <c r="H38" s="35">
        <v>1.2829999999999999E-2</v>
      </c>
      <c r="J38" s="15">
        <v>7.0399999999999994E-3</v>
      </c>
      <c r="K38" s="17">
        <v>3.3619999999999997E-2</v>
      </c>
    </row>
    <row r="39" spans="1:11" x14ac:dyDescent="0.5">
      <c r="A39" s="17">
        <v>1.7599999999999998E-3</v>
      </c>
      <c r="B39" s="17">
        <v>4.3479999999999998E-2</v>
      </c>
      <c r="D39" s="17">
        <v>1.7599999999999998E-3</v>
      </c>
      <c r="E39" s="17">
        <v>8.3250000000000008E-3</v>
      </c>
      <c r="G39" s="35">
        <v>1.7599999999999998E-3</v>
      </c>
      <c r="H39" s="35">
        <v>1.128E-2</v>
      </c>
      <c r="J39" s="15">
        <v>1.7599999999999998E-3</v>
      </c>
      <c r="K39" s="17">
        <v>2.768E-2</v>
      </c>
    </row>
    <row r="40" spans="1:11" x14ac:dyDescent="0.5">
      <c r="A40" s="17">
        <v>8.7999999999999992E-4</v>
      </c>
      <c r="B40" s="17">
        <v>3.1800000000000002E-2</v>
      </c>
      <c r="D40" s="17">
        <v>8.7999999999999992E-4</v>
      </c>
      <c r="E40" s="17">
        <v>4.4099999999999999E-3</v>
      </c>
      <c r="G40" s="35">
        <v>8.7999999999999992E-4</v>
      </c>
      <c r="H40" s="35">
        <v>6.8190000000000004E-3</v>
      </c>
      <c r="J40" s="15">
        <v>8.7999999999999992E-4</v>
      </c>
      <c r="K40" s="17">
        <v>1.397E-2</v>
      </c>
    </row>
    <row r="41" spans="1:11" x14ac:dyDescent="0.5">
      <c r="A41" s="17">
        <v>4.3999999999999996E-4</v>
      </c>
      <c r="B41" s="17">
        <v>1.014E-2</v>
      </c>
      <c r="D41" s="17">
        <v>4.3999999999999996E-4</v>
      </c>
      <c r="E41" s="17">
        <v>2.2239999999999998E-3</v>
      </c>
      <c r="G41" s="35">
        <v>4.3999999999999996E-4</v>
      </c>
      <c r="H41" s="35">
        <v>6.1260000000000004E-3</v>
      </c>
      <c r="J41" s="15">
        <v>4.3999999999999996E-4</v>
      </c>
      <c r="K41" s="17">
        <v>9.6179999999999998E-3</v>
      </c>
    </row>
  </sheetData>
  <mergeCells count="11">
    <mergeCell ref="L17:M17"/>
    <mergeCell ref="A1:B1"/>
    <mergeCell ref="D1:E1"/>
    <mergeCell ref="G1:H1"/>
    <mergeCell ref="J1:K1"/>
    <mergeCell ref="L16:M16"/>
    <mergeCell ref="L18:M18"/>
    <mergeCell ref="A36:B36"/>
    <mergeCell ref="D36:E36"/>
    <mergeCell ref="G36:H36"/>
    <mergeCell ref="J36:K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Buffer Prep</vt:lpstr>
      <vt:lpstr>Kinetics Assay</vt:lpstr>
      <vt:lpstr>Kinetic Assay - new protein</vt:lpstr>
      <vt:lpstr>Kinetics Assay Week 2</vt:lpstr>
      <vt:lpstr>Kinetics Week 2_Inhib1_c1</vt:lpstr>
      <vt:lpstr>Kinetics Week 2_Inhib1_c2</vt:lpstr>
      <vt:lpstr>Kinetics Week 2_Inhib1_c3</vt:lpstr>
      <vt:lpstr>Inhib1_c3 together</vt:lpstr>
      <vt:lpstr>Kinetics Assay Week 3</vt:lpstr>
      <vt:lpstr>Kinetics Week 3_Inhib2_c1 </vt:lpstr>
      <vt:lpstr>Kinetics Week 3_Inhib2_c2</vt:lpstr>
      <vt:lpstr>Kinetics Week 3_Inhib2_c3</vt:lpstr>
      <vt:lpstr>Week 3 Inhib_together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Levenshteyn, Julia R</dc:creator>
  <cp:keywords/>
  <dc:description/>
  <cp:lastModifiedBy>Berlin, Ilana F</cp:lastModifiedBy>
  <cp:revision/>
  <dcterms:created xsi:type="dcterms:W3CDTF">2025-11-04T23:37:33Z</dcterms:created>
  <dcterms:modified xsi:type="dcterms:W3CDTF">2025-11-21T02:08:43Z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2025-11-04T23:37:42Z</vt:lpwstr>
  </property>
  <property fmtid="{D5CDD505-2E9C-101B-9397-08002B2CF9AE}" pid="4" name="MSIP_Label_f2dee603-0001-4639-81f8-0608a53322f1_Method">
    <vt:lpwstr>Privileged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24289fe8-7fe9-44a5-9ab8-1753ac286fac</vt:lpwstr>
  </property>
  <property fmtid="{D5CDD505-2E9C-101B-9397-08002B2CF9AE}" pid="8" name="MSIP_Label_f2dee603-0001-4639-81f8-0608a53322f1_ContentBits">
    <vt:lpwstr>0</vt:lpwstr>
  </property>
</Properties>
</file>