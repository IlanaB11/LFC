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ilana\OneDrive\Documents\LFC_Courses\BioChem\Labs\Lab1_Buffers\"/>
    </mc:Choice>
  </mc:AlternateContent>
  <xr:revisionPtr revIDLastSave="0" documentId="13_ncr:1_{4A7CC542-D893-4EB9-99BD-CF746B813E3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Eqv_Calc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C3" i="1"/>
  <c r="C2" i="1"/>
</calcChain>
</file>

<file path=xl/sharedStrings.xml><?xml version="1.0" encoding="utf-8"?>
<sst xmlns="http://schemas.openxmlformats.org/spreadsheetml/2006/main" count="18" uniqueCount="18">
  <si>
    <t>Conc. Acid (M)</t>
  </si>
  <si>
    <t>Equiv</t>
  </si>
  <si>
    <t>Conc. Base (M)</t>
  </si>
  <si>
    <t>Vol. Acid (mL)</t>
  </si>
  <si>
    <t>Vol. Base (mL)</t>
  </si>
  <si>
    <t>Moles of Acid</t>
  </si>
  <si>
    <t>Initial Volume of Titrant (ml)</t>
  </si>
  <si>
    <t>Volume of Titrant Read (mL)</t>
  </si>
  <si>
    <t>Volume of Titrant added  (mL)</t>
  </si>
  <si>
    <t>pH measurement</t>
  </si>
  <si>
    <t># of moles of titrant added</t>
  </si>
  <si>
    <t># of equivalents of titrant added</t>
  </si>
  <si>
    <t>Initial pH</t>
  </si>
  <si>
    <t>Molarity of Titrant (M)</t>
  </si>
  <si>
    <t>Molarity of Analyte (M)</t>
  </si>
  <si>
    <t>Volume of analyte (ml)</t>
  </si>
  <si>
    <t>Moles of analyte</t>
  </si>
  <si>
    <t>Equivalence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</si>
</sst>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3" xfId="0" applyFont="1" applyBorder="1"/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Sodium Acetate Titrated with 0.1M NaOH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Sodium acetate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chemeClr val="accent1"/>
                </a:solidFill>
                <a:ln w="12700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FD-4EE0-A45D-872AA278B023}"/>
              </c:ext>
            </c:extLst>
          </c:dPt>
          <c:dPt>
            <c:idx val="8"/>
            <c:marker>
              <c:symbol val="circle"/>
              <c:size val="8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5FD-4EE0-A45D-872AA278B023}"/>
              </c:ext>
            </c:extLst>
          </c:dPt>
          <c:cat>
            <c:numRef>
              <c:f>Sheet1!$G$2:$G$50</c:f>
              <c:numCache>
                <c:formatCode>General</c:formatCode>
                <c:ptCount val="49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</c:numCache>
            </c:numRef>
          </c:cat>
          <c:val>
            <c:numRef>
              <c:f>Sheet1!$E$2:$E$50</c:f>
              <c:numCache>
                <c:formatCode>General</c:formatCode>
                <c:ptCount val="49"/>
                <c:pt idx="0">
                  <c:v>4.4800000000000004</c:v>
                </c:pt>
                <c:pt idx="1">
                  <c:v>4.54</c:v>
                </c:pt>
                <c:pt idx="2">
                  <c:v>4.62</c:v>
                </c:pt>
                <c:pt idx="3">
                  <c:v>4.71</c:v>
                </c:pt>
                <c:pt idx="4">
                  <c:v>4.8099999999999996</c:v>
                </c:pt>
                <c:pt idx="5">
                  <c:v>4.76</c:v>
                </c:pt>
                <c:pt idx="6">
                  <c:v>4.83</c:v>
                </c:pt>
                <c:pt idx="7">
                  <c:v>4.96</c:v>
                </c:pt>
                <c:pt idx="8">
                  <c:v>5.0599999999999996</c:v>
                </c:pt>
                <c:pt idx="9">
                  <c:v>5.17</c:v>
                </c:pt>
                <c:pt idx="10">
                  <c:v>5.3</c:v>
                </c:pt>
                <c:pt idx="11">
                  <c:v>5.47</c:v>
                </c:pt>
                <c:pt idx="12">
                  <c:v>5.68</c:v>
                </c:pt>
                <c:pt idx="13">
                  <c:v>5.78</c:v>
                </c:pt>
                <c:pt idx="14">
                  <c:v>5.8</c:v>
                </c:pt>
                <c:pt idx="15">
                  <c:v>6.17</c:v>
                </c:pt>
                <c:pt idx="16">
                  <c:v>9.0299999999999994</c:v>
                </c:pt>
                <c:pt idx="17">
                  <c:v>10.28</c:v>
                </c:pt>
                <c:pt idx="18">
                  <c:v>10.73</c:v>
                </c:pt>
                <c:pt idx="19">
                  <c:v>10.95</c:v>
                </c:pt>
                <c:pt idx="20">
                  <c:v>11.15</c:v>
                </c:pt>
                <c:pt idx="21">
                  <c:v>11.23</c:v>
                </c:pt>
                <c:pt idx="22">
                  <c:v>11.32</c:v>
                </c:pt>
                <c:pt idx="23">
                  <c:v>11.39</c:v>
                </c:pt>
                <c:pt idx="24">
                  <c:v>11.45</c:v>
                </c:pt>
                <c:pt idx="25">
                  <c:v>11.49</c:v>
                </c:pt>
                <c:pt idx="26">
                  <c:v>11.54</c:v>
                </c:pt>
                <c:pt idx="27">
                  <c:v>11.56</c:v>
                </c:pt>
                <c:pt idx="28">
                  <c:v>11.59</c:v>
                </c:pt>
                <c:pt idx="29">
                  <c:v>11.62</c:v>
                </c:pt>
                <c:pt idx="30">
                  <c:v>11.66</c:v>
                </c:pt>
                <c:pt idx="31">
                  <c:v>11.67</c:v>
                </c:pt>
                <c:pt idx="32">
                  <c:v>11.69</c:v>
                </c:pt>
                <c:pt idx="33">
                  <c:v>11.7</c:v>
                </c:pt>
                <c:pt idx="34">
                  <c:v>11.72</c:v>
                </c:pt>
                <c:pt idx="35">
                  <c:v>11.73</c:v>
                </c:pt>
                <c:pt idx="36">
                  <c:v>11.74</c:v>
                </c:pt>
                <c:pt idx="37">
                  <c:v>11.76</c:v>
                </c:pt>
                <c:pt idx="38">
                  <c:v>11.77</c:v>
                </c:pt>
                <c:pt idx="39">
                  <c:v>11.78</c:v>
                </c:pt>
                <c:pt idx="40">
                  <c:v>11.78</c:v>
                </c:pt>
                <c:pt idx="41">
                  <c:v>11.79</c:v>
                </c:pt>
                <c:pt idx="42">
                  <c:v>11.79</c:v>
                </c:pt>
                <c:pt idx="43">
                  <c:v>11.8</c:v>
                </c:pt>
                <c:pt idx="44">
                  <c:v>11.82</c:v>
                </c:pt>
                <c:pt idx="45">
                  <c:v>11.83</c:v>
                </c:pt>
                <c:pt idx="46">
                  <c:v>11.84</c:v>
                </c:pt>
                <c:pt idx="47">
                  <c:v>11.85</c:v>
                </c:pt>
                <c:pt idx="48">
                  <c:v>11.87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D-4EE0-A45D-872AA278B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201280"/>
        <c:axId val="817200800"/>
      </c:lineChart>
      <c:catAx>
        <c:axId val="817201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Eq. NaOH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008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1720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0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Sodium Acetate Titrated with 0.1M NaOH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Sodium acetate</c:v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D1-4A35-94C5-C54355D7DC2C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D1-4A35-94C5-C54355D7DC2C}"/>
              </c:ext>
            </c:extLst>
          </c:dPt>
          <c:cat>
            <c:numRef>
              <c:f>Sheet1!$G$2:$G$50</c:f>
              <c:numCache>
                <c:formatCode>General</c:formatCode>
                <c:ptCount val="49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</c:numCache>
            </c:numRef>
          </c:cat>
          <c:val>
            <c:numRef>
              <c:f>Sheet1!$E$2:$E$50</c:f>
              <c:numCache>
                <c:formatCode>General</c:formatCode>
                <c:ptCount val="49"/>
                <c:pt idx="0">
                  <c:v>4.4800000000000004</c:v>
                </c:pt>
                <c:pt idx="1">
                  <c:v>4.54</c:v>
                </c:pt>
                <c:pt idx="2">
                  <c:v>4.62</c:v>
                </c:pt>
                <c:pt idx="3">
                  <c:v>4.71</c:v>
                </c:pt>
                <c:pt idx="4">
                  <c:v>4.8099999999999996</c:v>
                </c:pt>
                <c:pt idx="5">
                  <c:v>4.76</c:v>
                </c:pt>
                <c:pt idx="6">
                  <c:v>4.83</c:v>
                </c:pt>
                <c:pt idx="7">
                  <c:v>4.96</c:v>
                </c:pt>
                <c:pt idx="8">
                  <c:v>5.0599999999999996</c:v>
                </c:pt>
                <c:pt idx="9">
                  <c:v>5.17</c:v>
                </c:pt>
                <c:pt idx="10">
                  <c:v>5.3</c:v>
                </c:pt>
                <c:pt idx="11">
                  <c:v>5.47</c:v>
                </c:pt>
                <c:pt idx="12">
                  <c:v>5.68</c:v>
                </c:pt>
                <c:pt idx="13">
                  <c:v>5.78</c:v>
                </c:pt>
                <c:pt idx="14">
                  <c:v>5.8</c:v>
                </c:pt>
                <c:pt idx="15">
                  <c:v>6.17</c:v>
                </c:pt>
                <c:pt idx="16">
                  <c:v>9.0299999999999994</c:v>
                </c:pt>
                <c:pt idx="17">
                  <c:v>10.28</c:v>
                </c:pt>
                <c:pt idx="18">
                  <c:v>10.73</c:v>
                </c:pt>
                <c:pt idx="19">
                  <c:v>10.95</c:v>
                </c:pt>
                <c:pt idx="20">
                  <c:v>11.15</c:v>
                </c:pt>
                <c:pt idx="21">
                  <c:v>11.23</c:v>
                </c:pt>
                <c:pt idx="22">
                  <c:v>11.32</c:v>
                </c:pt>
                <c:pt idx="23">
                  <c:v>11.39</c:v>
                </c:pt>
                <c:pt idx="24">
                  <c:v>11.45</c:v>
                </c:pt>
                <c:pt idx="25">
                  <c:v>11.49</c:v>
                </c:pt>
                <c:pt idx="26">
                  <c:v>11.54</c:v>
                </c:pt>
                <c:pt idx="27">
                  <c:v>11.56</c:v>
                </c:pt>
                <c:pt idx="28">
                  <c:v>11.59</c:v>
                </c:pt>
                <c:pt idx="29">
                  <c:v>11.62</c:v>
                </c:pt>
                <c:pt idx="30">
                  <c:v>11.66</c:v>
                </c:pt>
                <c:pt idx="31">
                  <c:v>11.67</c:v>
                </c:pt>
                <c:pt idx="32">
                  <c:v>11.69</c:v>
                </c:pt>
                <c:pt idx="33">
                  <c:v>11.7</c:v>
                </c:pt>
                <c:pt idx="34">
                  <c:v>11.72</c:v>
                </c:pt>
                <c:pt idx="35">
                  <c:v>11.73</c:v>
                </c:pt>
                <c:pt idx="36">
                  <c:v>11.74</c:v>
                </c:pt>
                <c:pt idx="37">
                  <c:v>11.76</c:v>
                </c:pt>
                <c:pt idx="38">
                  <c:v>11.77</c:v>
                </c:pt>
                <c:pt idx="39">
                  <c:v>11.78</c:v>
                </c:pt>
                <c:pt idx="40">
                  <c:v>11.78</c:v>
                </c:pt>
                <c:pt idx="41">
                  <c:v>11.79</c:v>
                </c:pt>
                <c:pt idx="42">
                  <c:v>11.79</c:v>
                </c:pt>
                <c:pt idx="43">
                  <c:v>11.8</c:v>
                </c:pt>
                <c:pt idx="44">
                  <c:v>11.82</c:v>
                </c:pt>
                <c:pt idx="45">
                  <c:v>11.83</c:v>
                </c:pt>
                <c:pt idx="46">
                  <c:v>11.84</c:v>
                </c:pt>
                <c:pt idx="47">
                  <c:v>11.85</c:v>
                </c:pt>
                <c:pt idx="48">
                  <c:v>11.87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D1-4A35-94C5-C54355D7D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201280"/>
        <c:axId val="817200800"/>
      </c:lineChart>
      <c:catAx>
        <c:axId val="817201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Eq. NaOH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008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81720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0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546865</xdr:colOff>
      <xdr:row>5</xdr:row>
      <xdr:rowOff>191265</xdr:rowOff>
    </xdr:from>
    <xdr:to>
      <xdr:col>22</xdr:col>
      <xdr:colOff>-1</xdr:colOff>
      <xdr:row>31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D1BDB-265A-137D-0FA4-8B50621E0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415192</xdr:colOff>
      <xdr:row>8</xdr:row>
      <xdr:rowOff>73269</xdr:rowOff>
    </xdr:from>
    <xdr:to>
      <xdr:col>13</xdr:col>
      <xdr:colOff>451827</xdr:colOff>
      <xdr:row>27</xdr:row>
      <xdr:rowOff>122115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10AF541-C606-449E-833F-5CA3D5CDF0C5}"/>
            </a:ext>
          </a:extLst>
        </xdr:cNvPr>
        <xdr:cNvCxnSpPr/>
      </xdr:nvCxnSpPr>
      <xdr:spPr>
        <a:xfrm flipH="1">
          <a:off x="9824183" y="2143125"/>
          <a:ext cx="36635" cy="4078654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34</xdr:row>
      <xdr:rowOff>0</xdr:rowOff>
    </xdr:from>
    <xdr:to>
      <xdr:col>29</xdr:col>
      <xdr:colOff>99473</xdr:colOff>
      <xdr:row>61</xdr:row>
      <xdr:rowOff>80879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EF9E7B-5996-4E2B-BFC1-5CBE09230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0.21514</cdr:x>
      <cdr:y>0.0942</cdr:y>
    </cdr:from>
    <cdr:to>
      <cdr:x>0.52491</cdr:x>
      <cdr:y>0.86646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A308D62-7C94-C9C1-DA60-AA76C3BBA49B}"/>
            </a:ext>
          </a:extLst>
        </cdr:cNvPr>
        <cdr:cNvSpPr/>
      </cdr:nvSpPr>
      <cdr:spPr>
        <a:xfrm xmlns:a="http://schemas.openxmlformats.org/drawingml/2006/main">
          <a:off x="1836402" y="497184"/>
          <a:ext cx="2644143" cy="40757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H4" sqref="H4"/>
    </sheetView>
  </sheetViews>
  <sheetFormatPr defaultRowHeight="14.25" x14ac:dyDescent="0.45"/>
  <cols>
    <col min="1" max="1" width="11.59765625" bestFit="1" customWidth="1"/>
    <col min="2" max="2" width="12.19921875" bestFit="1" customWidth="1"/>
    <col min="3" max="3" width="12.19921875" customWidth="1"/>
    <col min="7" max="7" width="11.86328125" bestFit="1" customWidth="1"/>
    <col min="8" max="8" width="12.46484375" bestFit="1" customWidth="1"/>
  </cols>
  <sheetData>
    <row r="1" spans="1:8" x14ac:dyDescent="0.45">
      <c r="A1" t="s">
        <v>3</v>
      </c>
      <c r="B1" t="s">
        <v>0</v>
      </c>
      <c r="C1" t="s">
        <v>5</v>
      </c>
      <c r="E1" t="s">
        <v>1</v>
      </c>
      <c r="G1" t="s">
        <v>4</v>
      </c>
      <c r="H1" t="s">
        <v>2</v>
      </c>
    </row>
    <row r="2" spans="1:8" x14ac:dyDescent="0.45">
      <c r="A2">
        <v>10</v>
      </c>
      <c r="B2">
        <v>0.1</v>
      </c>
      <c r="C2">
        <f>A2 * 0.001 * B2</f>
        <v>1E-3</v>
      </c>
      <c r="E2">
        <v>1</v>
      </c>
      <c r="G2">
        <f>C2 * $E$2 / H2 /0.001</f>
        <v>10</v>
      </c>
      <c r="H2">
        <v>0.1</v>
      </c>
    </row>
    <row r="3" spans="1:8" x14ac:dyDescent="0.45">
      <c r="A3">
        <v>10</v>
      </c>
      <c r="B3">
        <v>0.1</v>
      </c>
      <c r="C3">
        <f>A3 * 0.001 * B3</f>
        <v>1E-3</v>
      </c>
      <c r="G3">
        <f>C3 * $E$2 / H3 /0.001</f>
        <v>1</v>
      </c>
      <c r="H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6853-1A68-4A60-BA75-44CB0F7C0C3D}">
  <dimension ref="A1:H50"/>
  <sheetViews>
    <sheetView tabSelected="1" zoomScale="92" zoomScaleNormal="90" workbookViewId="0">
      <selection activeCell="AF50" sqref="AF50"/>
    </sheetView>
  </sheetViews>
  <sheetFormatPr defaultRowHeight="14.25" x14ac:dyDescent="0.45"/>
  <cols>
    <col min="1" max="1" width="23" bestFit="1" customWidth="1"/>
  </cols>
  <sheetData>
    <row r="1" spans="1:8" ht="52.15" x14ac:dyDescent="0.5">
      <c r="A1" s="1" t="s">
        <v>6</v>
      </c>
      <c r="B1" s="2">
        <v>5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6"/>
    </row>
    <row r="2" spans="1:8" ht="15.75" x14ac:dyDescent="0.5">
      <c r="A2" s="1" t="s">
        <v>12</v>
      </c>
      <c r="B2" s="7">
        <v>4.38</v>
      </c>
      <c r="C2" s="8">
        <v>5</v>
      </c>
      <c r="D2" s="8">
        <v>0</v>
      </c>
      <c r="E2" s="8">
        <v>4.4800000000000004</v>
      </c>
      <c r="F2" s="8">
        <v>0</v>
      </c>
      <c r="G2" s="8">
        <v>0</v>
      </c>
      <c r="H2" s="6"/>
    </row>
    <row r="3" spans="1:8" ht="15.75" x14ac:dyDescent="0.5">
      <c r="A3" s="1" t="s">
        <v>13</v>
      </c>
      <c r="B3" s="7">
        <v>0.1</v>
      </c>
      <c r="C3" s="8">
        <v>5.25</v>
      </c>
      <c r="D3" s="8">
        <v>0.25</v>
      </c>
      <c r="E3" s="8">
        <v>4.54</v>
      </c>
      <c r="F3" s="8">
        <v>2.5000000000000001E-5</v>
      </c>
      <c r="G3" s="8">
        <v>2.5000000000000001E-2</v>
      </c>
      <c r="H3" s="6"/>
    </row>
    <row r="4" spans="1:8" ht="15.75" x14ac:dyDescent="0.5">
      <c r="A4" s="1" t="s">
        <v>14</v>
      </c>
      <c r="B4" s="7">
        <v>0.1</v>
      </c>
      <c r="C4" s="8">
        <v>5.5</v>
      </c>
      <c r="D4" s="8">
        <v>0.5</v>
      </c>
      <c r="E4" s="8">
        <v>4.62</v>
      </c>
      <c r="F4" s="8">
        <v>5.0000000000000002E-5</v>
      </c>
      <c r="G4" s="8">
        <v>0.05</v>
      </c>
      <c r="H4" s="6"/>
    </row>
    <row r="5" spans="1:8" ht="15.75" x14ac:dyDescent="0.5">
      <c r="A5" s="1" t="s">
        <v>15</v>
      </c>
      <c r="B5" s="7">
        <v>10</v>
      </c>
      <c r="C5" s="8">
        <v>5.75</v>
      </c>
      <c r="D5" s="8">
        <v>0.75</v>
      </c>
      <c r="E5" s="8">
        <v>4.71</v>
      </c>
      <c r="F5" s="8">
        <v>7.4999999999999993E-5</v>
      </c>
      <c r="G5" s="8">
        <v>7.4999999999999997E-2</v>
      </c>
      <c r="H5" s="6"/>
    </row>
    <row r="6" spans="1:8" ht="15.75" x14ac:dyDescent="0.5">
      <c r="A6" s="1" t="s">
        <v>16</v>
      </c>
      <c r="B6" s="7">
        <v>1E-3</v>
      </c>
      <c r="C6" s="8">
        <v>6</v>
      </c>
      <c r="D6" s="8">
        <v>1</v>
      </c>
      <c r="E6" s="8">
        <v>4.8099999999999996</v>
      </c>
      <c r="F6" s="8">
        <v>1E-4</v>
      </c>
      <c r="G6" s="8">
        <v>0.1</v>
      </c>
      <c r="H6" s="6"/>
    </row>
    <row r="7" spans="1:8" ht="15.75" x14ac:dyDescent="0.5">
      <c r="A7" s="9"/>
      <c r="B7" s="9"/>
      <c r="C7" s="8">
        <v>6.25</v>
      </c>
      <c r="D7" s="8">
        <v>1.25</v>
      </c>
      <c r="E7" s="8">
        <v>4.76</v>
      </c>
      <c r="F7" s="8">
        <v>1.25E-4</v>
      </c>
      <c r="G7" s="8">
        <v>0.125</v>
      </c>
      <c r="H7" s="6"/>
    </row>
    <row r="8" spans="1:8" ht="15.75" x14ac:dyDescent="0.5">
      <c r="A8" s="9"/>
      <c r="B8" s="9"/>
      <c r="C8" s="8">
        <v>6.5</v>
      </c>
      <c r="D8" s="8">
        <v>1.5</v>
      </c>
      <c r="E8" s="8">
        <v>4.83</v>
      </c>
      <c r="F8" s="8">
        <v>1.4999999999999999E-4</v>
      </c>
      <c r="G8" s="8">
        <v>0.15</v>
      </c>
      <c r="H8" s="6"/>
    </row>
    <row r="9" spans="1:8" ht="15.75" x14ac:dyDescent="0.5">
      <c r="A9" s="9"/>
      <c r="B9" s="9"/>
      <c r="C9" s="8">
        <v>6.75</v>
      </c>
      <c r="D9" s="8">
        <v>1.75</v>
      </c>
      <c r="E9" s="8">
        <v>4.96</v>
      </c>
      <c r="F9" s="8">
        <v>1.75E-4</v>
      </c>
      <c r="G9" s="8">
        <v>0.17499999999999999</v>
      </c>
      <c r="H9" s="6"/>
    </row>
    <row r="10" spans="1:8" ht="15.75" x14ac:dyDescent="0.5">
      <c r="A10" s="9"/>
      <c r="B10" s="9"/>
      <c r="C10" s="8">
        <v>7</v>
      </c>
      <c r="D10" s="8">
        <v>2</v>
      </c>
      <c r="E10" s="8">
        <v>5.0599999999999996</v>
      </c>
      <c r="F10" s="8">
        <v>2.0000000000000001E-4</v>
      </c>
      <c r="G10" s="8">
        <v>0.2</v>
      </c>
      <c r="H10" s="6"/>
    </row>
    <row r="11" spans="1:8" ht="15.75" x14ac:dyDescent="0.5">
      <c r="A11" s="9"/>
      <c r="B11" s="9"/>
      <c r="C11" s="8">
        <v>7.25</v>
      </c>
      <c r="D11" s="8">
        <v>2.25</v>
      </c>
      <c r="E11" s="8">
        <v>5.17</v>
      </c>
      <c r="F11" s="8">
        <v>2.2499999999999999E-4</v>
      </c>
      <c r="G11" s="8">
        <v>0.22500000000000001</v>
      </c>
      <c r="H11" s="6"/>
    </row>
    <row r="12" spans="1:8" ht="15.75" x14ac:dyDescent="0.5">
      <c r="A12" s="9"/>
      <c r="B12" s="9"/>
      <c r="C12" s="8">
        <v>7.5</v>
      </c>
      <c r="D12" s="8">
        <v>2.5</v>
      </c>
      <c r="E12" s="8">
        <v>5.3</v>
      </c>
      <c r="F12" s="8">
        <v>2.5000000000000001E-4</v>
      </c>
      <c r="G12" s="8">
        <v>0.25</v>
      </c>
      <c r="H12" s="6"/>
    </row>
    <row r="13" spans="1:8" ht="15.75" x14ac:dyDescent="0.5">
      <c r="A13" s="9"/>
      <c r="B13" s="9"/>
      <c r="C13" s="8">
        <v>7.75</v>
      </c>
      <c r="D13" s="8">
        <v>2.75</v>
      </c>
      <c r="E13" s="8">
        <v>5.47</v>
      </c>
      <c r="F13" s="8">
        <v>2.7500000000000002E-4</v>
      </c>
      <c r="G13" s="8">
        <v>0.27500000000000002</v>
      </c>
      <c r="H13" s="6"/>
    </row>
    <row r="14" spans="1:8" ht="15.75" x14ac:dyDescent="0.5">
      <c r="A14" s="9"/>
      <c r="B14" s="9"/>
      <c r="C14" s="8">
        <v>8</v>
      </c>
      <c r="D14" s="8">
        <v>3</v>
      </c>
      <c r="E14" s="8">
        <v>5.68</v>
      </c>
      <c r="F14" s="8">
        <v>2.9999999999999997E-4</v>
      </c>
      <c r="G14" s="8">
        <v>0.3</v>
      </c>
      <c r="H14" s="6"/>
    </row>
    <row r="15" spans="1:8" ht="15.75" x14ac:dyDescent="0.5">
      <c r="A15" s="9"/>
      <c r="B15" s="9"/>
      <c r="C15" s="8">
        <v>8.25</v>
      </c>
      <c r="D15" s="8">
        <v>3.25</v>
      </c>
      <c r="E15" s="8">
        <v>5.78</v>
      </c>
      <c r="F15" s="8">
        <v>3.2499999999999999E-4</v>
      </c>
      <c r="G15" s="8">
        <v>0.32500000000000001</v>
      </c>
      <c r="H15" s="6"/>
    </row>
    <row r="16" spans="1:8" ht="15.75" x14ac:dyDescent="0.5">
      <c r="A16" s="9"/>
      <c r="B16" s="9"/>
      <c r="C16" s="8">
        <v>8.5</v>
      </c>
      <c r="D16" s="8">
        <v>3.5</v>
      </c>
      <c r="E16" s="8">
        <v>5.8</v>
      </c>
      <c r="F16" s="8">
        <v>3.5E-4</v>
      </c>
      <c r="G16" s="8">
        <v>0.35</v>
      </c>
      <c r="H16" s="6"/>
    </row>
    <row r="17" spans="1:8" ht="15.75" x14ac:dyDescent="0.5">
      <c r="A17" s="9"/>
      <c r="B17" s="9"/>
      <c r="C17" s="8">
        <v>8.75</v>
      </c>
      <c r="D17" s="8">
        <v>3.75</v>
      </c>
      <c r="E17" s="8">
        <v>6.17</v>
      </c>
      <c r="F17" s="8">
        <v>3.7500000000000001E-4</v>
      </c>
      <c r="G17" s="8">
        <v>0.375</v>
      </c>
      <c r="H17" s="6"/>
    </row>
    <row r="18" spans="1:8" ht="31.5" x14ac:dyDescent="0.5">
      <c r="A18" s="9"/>
      <c r="B18" s="9"/>
      <c r="C18" s="10">
        <v>9</v>
      </c>
      <c r="D18" s="10">
        <v>4</v>
      </c>
      <c r="E18" s="10">
        <v>9.0299999999999994</v>
      </c>
      <c r="F18" s="10">
        <v>4.0000000000000002E-4</v>
      </c>
      <c r="G18" s="10">
        <v>0.4</v>
      </c>
      <c r="H18" s="6" t="s">
        <v>17</v>
      </c>
    </row>
    <row r="19" spans="1:8" ht="15.75" x14ac:dyDescent="0.5">
      <c r="A19" s="9"/>
      <c r="B19" s="9"/>
      <c r="C19" s="10">
        <v>9.25</v>
      </c>
      <c r="D19" s="10">
        <v>4.25</v>
      </c>
      <c r="E19" s="10">
        <v>10.28</v>
      </c>
      <c r="F19" s="10">
        <v>4.2499999999999998E-4</v>
      </c>
      <c r="G19" s="10">
        <v>0.42499999999999999</v>
      </c>
      <c r="H19" s="6"/>
    </row>
    <row r="20" spans="1:8" ht="15.75" x14ac:dyDescent="0.5">
      <c r="A20" s="9"/>
      <c r="B20" s="9"/>
      <c r="C20" s="10">
        <v>9.5</v>
      </c>
      <c r="D20" s="10">
        <v>4.5</v>
      </c>
      <c r="E20" s="10">
        <v>10.73</v>
      </c>
      <c r="F20" s="10">
        <v>4.4999999999999999E-4</v>
      </c>
      <c r="G20" s="10">
        <v>0.45</v>
      </c>
      <c r="H20" s="6"/>
    </row>
    <row r="21" spans="1:8" ht="15.75" x14ac:dyDescent="0.5">
      <c r="A21" s="9"/>
      <c r="B21" s="9"/>
      <c r="C21" s="8">
        <v>9.75</v>
      </c>
      <c r="D21" s="8">
        <v>4.75</v>
      </c>
      <c r="E21" s="8">
        <v>10.95</v>
      </c>
      <c r="F21" s="8">
        <v>4.75E-4</v>
      </c>
      <c r="G21" s="8">
        <v>0.47499999999999998</v>
      </c>
      <c r="H21" s="6"/>
    </row>
    <row r="22" spans="1:8" ht="15.75" x14ac:dyDescent="0.5">
      <c r="A22" s="5"/>
      <c r="B22" s="5"/>
      <c r="C22" s="8">
        <v>10</v>
      </c>
      <c r="D22" s="8">
        <v>5</v>
      </c>
      <c r="E22" s="8">
        <v>11.15</v>
      </c>
      <c r="F22" s="8">
        <v>5.0000000000000001E-4</v>
      </c>
      <c r="G22" s="8">
        <v>0.5</v>
      </c>
      <c r="H22" s="6"/>
    </row>
    <row r="23" spans="1:8" ht="15.75" x14ac:dyDescent="0.5">
      <c r="A23" s="5"/>
      <c r="B23" s="5"/>
      <c r="C23" s="8">
        <v>10.25</v>
      </c>
      <c r="D23" s="8">
        <v>5.25</v>
      </c>
      <c r="E23" s="8">
        <v>11.23</v>
      </c>
      <c r="F23" s="8">
        <v>5.2499999999999997E-4</v>
      </c>
      <c r="G23" s="8">
        <v>0.52500000000000002</v>
      </c>
      <c r="H23" s="6"/>
    </row>
    <row r="24" spans="1:8" ht="15.75" x14ac:dyDescent="0.5">
      <c r="A24" s="5"/>
      <c r="B24" s="5"/>
      <c r="C24" s="8">
        <v>10.5</v>
      </c>
      <c r="D24" s="8">
        <v>5.5</v>
      </c>
      <c r="E24" s="8">
        <v>11.32</v>
      </c>
      <c r="F24" s="8">
        <v>5.5000000000000003E-4</v>
      </c>
      <c r="G24" s="8">
        <v>0.55000000000000004</v>
      </c>
      <c r="H24" s="6"/>
    </row>
    <row r="25" spans="1:8" ht="15.75" x14ac:dyDescent="0.5">
      <c r="A25" s="5"/>
      <c r="B25" s="5"/>
      <c r="C25" s="8">
        <v>10.75</v>
      </c>
      <c r="D25" s="8">
        <v>5.75</v>
      </c>
      <c r="E25" s="8">
        <v>11.39</v>
      </c>
      <c r="F25" s="8">
        <v>5.7499999999999999E-4</v>
      </c>
      <c r="G25" s="8">
        <v>0.57499999999999996</v>
      </c>
      <c r="H25" s="6"/>
    </row>
    <row r="26" spans="1:8" ht="15.75" x14ac:dyDescent="0.5">
      <c r="A26" s="5"/>
      <c r="B26" s="5"/>
      <c r="C26" s="8">
        <v>11</v>
      </c>
      <c r="D26" s="8">
        <v>6</v>
      </c>
      <c r="E26" s="8">
        <v>11.45</v>
      </c>
      <c r="F26" s="8">
        <v>5.9999999999999995E-4</v>
      </c>
      <c r="G26" s="8">
        <v>0.6</v>
      </c>
      <c r="H26" s="6"/>
    </row>
    <row r="27" spans="1:8" ht="15.75" x14ac:dyDescent="0.5">
      <c r="A27" s="5"/>
      <c r="B27" s="5"/>
      <c r="C27" s="8">
        <v>11.25</v>
      </c>
      <c r="D27" s="8">
        <v>6.25</v>
      </c>
      <c r="E27" s="8">
        <v>11.49</v>
      </c>
      <c r="F27" s="8">
        <v>6.2500000000000001E-4</v>
      </c>
      <c r="G27" s="8">
        <v>0.625</v>
      </c>
      <c r="H27" s="6"/>
    </row>
    <row r="28" spans="1:8" ht="15.75" x14ac:dyDescent="0.5">
      <c r="A28" s="5"/>
      <c r="B28" s="5"/>
      <c r="C28" s="8">
        <v>11.5</v>
      </c>
      <c r="D28" s="8">
        <v>6.5</v>
      </c>
      <c r="E28" s="8">
        <v>11.54</v>
      </c>
      <c r="F28" s="8">
        <v>6.4999999999999997E-4</v>
      </c>
      <c r="G28" s="8">
        <v>0.65</v>
      </c>
      <c r="H28" s="6"/>
    </row>
    <row r="29" spans="1:8" ht="15.75" x14ac:dyDescent="0.5">
      <c r="A29" s="5"/>
      <c r="B29" s="5"/>
      <c r="C29" s="8">
        <v>11.75</v>
      </c>
      <c r="D29" s="8">
        <v>6.75</v>
      </c>
      <c r="E29" s="8">
        <v>11.56</v>
      </c>
      <c r="F29" s="8">
        <v>6.7500000000000004E-4</v>
      </c>
      <c r="G29" s="8">
        <v>0.67500000000000004</v>
      </c>
      <c r="H29" s="6"/>
    </row>
    <row r="30" spans="1:8" ht="15.75" x14ac:dyDescent="0.5">
      <c r="A30" s="5"/>
      <c r="B30" s="5"/>
      <c r="C30" s="8">
        <v>12</v>
      </c>
      <c r="D30" s="8">
        <v>7</v>
      </c>
      <c r="E30" s="8">
        <v>11.59</v>
      </c>
      <c r="F30" s="8">
        <v>6.9999999999999999E-4</v>
      </c>
      <c r="G30" s="8">
        <v>0.7</v>
      </c>
      <c r="H30" s="6"/>
    </row>
    <row r="31" spans="1:8" ht="15.75" x14ac:dyDescent="0.5">
      <c r="A31" s="5"/>
      <c r="B31" s="5"/>
      <c r="C31" s="8">
        <v>12.25</v>
      </c>
      <c r="D31" s="8">
        <v>7.25</v>
      </c>
      <c r="E31" s="8">
        <v>11.62</v>
      </c>
      <c r="F31" s="8">
        <v>7.2499999999999995E-4</v>
      </c>
      <c r="G31" s="8">
        <v>0.72499999999999998</v>
      </c>
      <c r="H31" s="6"/>
    </row>
    <row r="32" spans="1:8" ht="15.75" x14ac:dyDescent="0.5">
      <c r="A32" s="5"/>
      <c r="B32" s="5"/>
      <c r="C32" s="8">
        <v>12.5</v>
      </c>
      <c r="D32" s="8">
        <v>7.5</v>
      </c>
      <c r="E32" s="8">
        <v>11.66</v>
      </c>
      <c r="F32" s="8">
        <v>7.5000000000000002E-4</v>
      </c>
      <c r="G32" s="8">
        <v>0.75</v>
      </c>
      <c r="H32" s="6"/>
    </row>
    <row r="33" spans="1:8" ht="15.75" x14ac:dyDescent="0.5">
      <c r="A33" s="5"/>
      <c r="B33" s="5"/>
      <c r="C33" s="8">
        <v>12.75</v>
      </c>
      <c r="D33" s="8">
        <v>7.75</v>
      </c>
      <c r="E33" s="8">
        <v>11.67</v>
      </c>
      <c r="F33" s="8">
        <v>7.7499999999999997E-4</v>
      </c>
      <c r="G33" s="8">
        <v>0.77500000000000002</v>
      </c>
      <c r="H33" s="6"/>
    </row>
    <row r="34" spans="1:8" ht="15.75" x14ac:dyDescent="0.5">
      <c r="A34" s="5"/>
      <c r="B34" s="5"/>
      <c r="C34" s="8">
        <v>13</v>
      </c>
      <c r="D34" s="8">
        <v>8</v>
      </c>
      <c r="E34" s="8">
        <v>11.69</v>
      </c>
      <c r="F34" s="8">
        <v>8.0000000000000004E-4</v>
      </c>
      <c r="G34" s="8">
        <v>0.8</v>
      </c>
      <c r="H34" s="6"/>
    </row>
    <row r="35" spans="1:8" ht="15.75" x14ac:dyDescent="0.5">
      <c r="A35" s="5"/>
      <c r="B35" s="5"/>
      <c r="C35" s="8">
        <v>13.25</v>
      </c>
      <c r="D35" s="8">
        <v>8.25</v>
      </c>
      <c r="E35" s="8">
        <v>11.7</v>
      </c>
      <c r="F35" s="8">
        <v>8.25E-4</v>
      </c>
      <c r="G35" s="8">
        <v>0.82499999999999996</v>
      </c>
      <c r="H35" s="6"/>
    </row>
    <row r="36" spans="1:8" ht="15.75" x14ac:dyDescent="0.5">
      <c r="A36" s="5"/>
      <c r="B36" s="5"/>
      <c r="C36" s="8">
        <v>13.5</v>
      </c>
      <c r="D36" s="8">
        <v>8.5</v>
      </c>
      <c r="E36" s="8">
        <v>11.72</v>
      </c>
      <c r="F36" s="8">
        <v>8.4999999999999995E-4</v>
      </c>
      <c r="G36" s="8">
        <v>0.85</v>
      </c>
      <c r="H36" s="6"/>
    </row>
    <row r="37" spans="1:8" ht="15.75" x14ac:dyDescent="0.5">
      <c r="A37" s="5"/>
      <c r="B37" s="5"/>
      <c r="C37" s="8">
        <v>13.75</v>
      </c>
      <c r="D37" s="8">
        <v>8.75</v>
      </c>
      <c r="E37" s="8">
        <v>11.73</v>
      </c>
      <c r="F37" s="8">
        <v>8.7500000000000002E-4</v>
      </c>
      <c r="G37" s="8">
        <v>0.875</v>
      </c>
      <c r="H37" s="6"/>
    </row>
    <row r="38" spans="1:8" ht="15.75" x14ac:dyDescent="0.5">
      <c r="A38" s="5"/>
      <c r="B38" s="5"/>
      <c r="C38" s="8">
        <v>14</v>
      </c>
      <c r="D38" s="8">
        <v>9</v>
      </c>
      <c r="E38" s="8">
        <v>11.74</v>
      </c>
      <c r="F38" s="8">
        <v>8.9999999999999998E-4</v>
      </c>
      <c r="G38" s="8">
        <v>0.9</v>
      </c>
      <c r="H38" s="6"/>
    </row>
    <row r="39" spans="1:8" ht="15.75" x14ac:dyDescent="0.5">
      <c r="A39" s="5"/>
      <c r="B39" s="5"/>
      <c r="C39" s="8">
        <v>14.25</v>
      </c>
      <c r="D39" s="8">
        <v>9.25</v>
      </c>
      <c r="E39" s="8">
        <v>11.76</v>
      </c>
      <c r="F39" s="8">
        <v>9.2500000000000004E-4</v>
      </c>
      <c r="G39" s="8">
        <v>0.92500000000000004</v>
      </c>
      <c r="H39" s="6"/>
    </row>
    <row r="40" spans="1:8" ht="15.75" x14ac:dyDescent="0.5">
      <c r="A40" s="5"/>
      <c r="B40" s="5"/>
      <c r="C40" s="8">
        <v>14.5</v>
      </c>
      <c r="D40" s="8">
        <v>9.5</v>
      </c>
      <c r="E40" s="8">
        <v>11.77</v>
      </c>
      <c r="F40" s="8">
        <v>9.5E-4</v>
      </c>
      <c r="G40" s="8">
        <v>0.95</v>
      </c>
      <c r="H40" s="6"/>
    </row>
    <row r="41" spans="1:8" ht="15.75" x14ac:dyDescent="0.5">
      <c r="A41" s="5"/>
      <c r="B41" s="5"/>
      <c r="C41" s="8">
        <v>14.75</v>
      </c>
      <c r="D41" s="8">
        <v>9.75</v>
      </c>
      <c r="E41" s="8">
        <v>11.78</v>
      </c>
      <c r="F41" s="8">
        <v>9.7499999999999996E-4</v>
      </c>
      <c r="G41" s="8">
        <v>0.97499999999999998</v>
      </c>
      <c r="H41" s="6"/>
    </row>
    <row r="42" spans="1:8" ht="15.75" x14ac:dyDescent="0.5">
      <c r="A42" s="5"/>
      <c r="B42" s="5"/>
      <c r="C42" s="8">
        <v>15</v>
      </c>
      <c r="D42" s="8">
        <v>10</v>
      </c>
      <c r="E42" s="8">
        <v>11.78</v>
      </c>
      <c r="F42" s="8">
        <v>1E-3</v>
      </c>
      <c r="G42" s="8">
        <v>1</v>
      </c>
      <c r="H42" s="6"/>
    </row>
    <row r="43" spans="1:8" ht="15.75" x14ac:dyDescent="0.5">
      <c r="A43" s="5"/>
      <c r="B43" s="5"/>
      <c r="C43" s="8">
        <v>15.25</v>
      </c>
      <c r="D43" s="8">
        <v>10.25</v>
      </c>
      <c r="E43" s="8">
        <v>11.79</v>
      </c>
      <c r="F43" s="8">
        <v>1.0250000000000001E-3</v>
      </c>
      <c r="G43" s="8">
        <v>1.0249999999999999</v>
      </c>
      <c r="H43" s="6"/>
    </row>
    <row r="44" spans="1:8" ht="15.75" x14ac:dyDescent="0.5">
      <c r="A44" s="5"/>
      <c r="B44" s="5"/>
      <c r="C44" s="8">
        <v>15.5</v>
      </c>
      <c r="D44" s="8">
        <v>10.5</v>
      </c>
      <c r="E44" s="8">
        <v>11.79</v>
      </c>
      <c r="F44" s="8">
        <v>1.0499999999999999E-3</v>
      </c>
      <c r="G44" s="8">
        <v>1.05</v>
      </c>
      <c r="H44" s="6"/>
    </row>
    <row r="45" spans="1:8" ht="15.75" x14ac:dyDescent="0.5">
      <c r="A45" s="5"/>
      <c r="B45" s="5"/>
      <c r="C45" s="8">
        <v>15.75</v>
      </c>
      <c r="D45" s="8">
        <v>10.75</v>
      </c>
      <c r="E45" s="8">
        <v>11.8</v>
      </c>
      <c r="F45" s="8">
        <v>1.075E-3</v>
      </c>
      <c r="G45" s="8">
        <v>1.075</v>
      </c>
      <c r="H45" s="6"/>
    </row>
    <row r="46" spans="1:8" ht="15.75" x14ac:dyDescent="0.5">
      <c r="A46" s="5"/>
      <c r="B46" s="5"/>
      <c r="C46" s="8">
        <v>16</v>
      </c>
      <c r="D46" s="8">
        <v>11</v>
      </c>
      <c r="E46" s="8">
        <v>11.82</v>
      </c>
      <c r="F46" s="8">
        <v>1.1000000000000001E-3</v>
      </c>
      <c r="G46" s="8">
        <v>1.1000000000000001</v>
      </c>
      <c r="H46" s="6"/>
    </row>
    <row r="47" spans="1:8" ht="15.75" x14ac:dyDescent="0.5">
      <c r="A47" s="5"/>
      <c r="B47" s="5"/>
      <c r="C47" s="8">
        <v>16.25</v>
      </c>
      <c r="D47" s="8">
        <v>11.25</v>
      </c>
      <c r="E47" s="8">
        <v>11.83</v>
      </c>
      <c r="F47" s="8">
        <v>1.1249999999999999E-3</v>
      </c>
      <c r="G47" s="8">
        <v>1.125</v>
      </c>
      <c r="H47" s="6"/>
    </row>
    <row r="48" spans="1:8" ht="15.75" x14ac:dyDescent="0.5">
      <c r="A48" s="5"/>
      <c r="B48" s="5"/>
      <c r="C48" s="8">
        <v>16.5</v>
      </c>
      <c r="D48" s="8">
        <v>11.5</v>
      </c>
      <c r="E48" s="8">
        <v>11.84</v>
      </c>
      <c r="F48" s="8">
        <v>1.15E-3</v>
      </c>
      <c r="G48" s="8">
        <v>1.1499999999999999</v>
      </c>
      <c r="H48" s="6"/>
    </row>
    <row r="49" spans="1:8" ht="15.75" x14ac:dyDescent="0.5">
      <c r="A49" s="5"/>
      <c r="B49" s="5"/>
      <c r="C49" s="8">
        <v>16.75</v>
      </c>
      <c r="D49" s="8">
        <v>11.75</v>
      </c>
      <c r="E49" s="8">
        <v>11.85</v>
      </c>
      <c r="F49" s="8">
        <v>1.175E-3</v>
      </c>
      <c r="G49" s="8">
        <v>1.175</v>
      </c>
      <c r="H49" s="6"/>
    </row>
    <row r="50" spans="1:8" ht="15.75" x14ac:dyDescent="0.5">
      <c r="A50" s="5"/>
      <c r="B50" s="5"/>
      <c r="C50" s="8">
        <v>17</v>
      </c>
      <c r="D50" s="8">
        <v>12</v>
      </c>
      <c r="E50" s="8">
        <v>11.87</v>
      </c>
      <c r="F50" s="8">
        <v>1.1999999999999999E-3</v>
      </c>
      <c r="G50" s="8">
        <v>1.2</v>
      </c>
      <c r="H5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Eqv_Calc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Ilana Berlin</dc:creator>
  <cp:lastModifiedBy>Berlin, Ilana F</cp:lastModifiedBy>
  <dcterms:created xsi:type="dcterms:W3CDTF">2015-06-05T18:17:20Z</dcterms:created>
  <dcterms:modified xsi:type="dcterms:W3CDTF">2025-08-27T22:47:57Z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2025-08-26T03:19:38Z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82925803-7839-44bf-99d6-f8fd61b2bbdc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10, 3, 0, 1</vt:lpwstr>
  </property>
</Properties>
</file>