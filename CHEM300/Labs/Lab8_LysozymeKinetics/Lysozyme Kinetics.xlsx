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na\OneDrive\Desktop\"/>
    </mc:Choice>
  </mc:AlternateContent>
  <xr:revisionPtr revIDLastSave="0" documentId="8_{C5B5E7AD-3B7F-4D8F-BE1F-6F446633680E}" xr6:coauthVersionLast="47" xr6:coauthVersionMax="47" xr10:uidLastSave="{00000000-0000-0000-0000-000000000000}"/>
  <bookViews>
    <workbookView xWindow="-110" yWindow="-110" windowWidth="29020" windowHeight="17500" activeTab="2" xr2:uid="{2E2CCEAA-B299-244F-BE09-629A08BD95EF}"/>
  </bookViews>
  <sheets>
    <sheet name="Bradford Assay " sheetId="3" r:id="rId1"/>
    <sheet name="Run 1" sheetId="2" r:id="rId2"/>
    <sheet name="Final Kinetics" sheetId="4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4" l="1"/>
  <c r="J4" i="4"/>
  <c r="F24" i="4"/>
  <c r="E24" i="4"/>
  <c r="E20" i="4"/>
  <c r="E25" i="4"/>
  <c r="E19" i="4"/>
  <c r="B19" i="4"/>
  <c r="B4" i="4"/>
  <c r="B2" i="4"/>
  <c r="D2" i="4"/>
  <c r="F2" i="4"/>
  <c r="G2" i="4"/>
  <c r="I2" i="4"/>
  <c r="J2" i="4"/>
  <c r="K2" i="4"/>
  <c r="B3" i="4"/>
  <c r="D3" i="4"/>
  <c r="F3" i="4"/>
  <c r="G3" i="4"/>
  <c r="I3" i="4"/>
  <c r="J3" i="4"/>
  <c r="K3" i="4"/>
  <c r="D4" i="4"/>
  <c r="F4" i="4"/>
  <c r="G4" i="4"/>
  <c r="I4" i="4"/>
  <c r="K4" i="4"/>
  <c r="B5" i="4"/>
  <c r="D5" i="4"/>
  <c r="F5" i="4"/>
  <c r="G5" i="4"/>
  <c r="I5" i="4"/>
  <c r="J5" i="4"/>
  <c r="K5" i="4"/>
  <c r="B6" i="4"/>
  <c r="D6" i="4"/>
  <c r="F6" i="4"/>
  <c r="G6" i="4"/>
  <c r="I6" i="4"/>
  <c r="J6" i="4"/>
  <c r="K6" i="4"/>
  <c r="B7" i="4"/>
  <c r="D7" i="4"/>
  <c r="F7" i="4"/>
  <c r="G7" i="4"/>
  <c r="I7" i="4"/>
  <c r="J7" i="4"/>
  <c r="K7" i="4"/>
  <c r="B8" i="4"/>
  <c r="D8" i="4"/>
  <c r="F8" i="4"/>
  <c r="G8" i="4"/>
  <c r="I8" i="4"/>
  <c r="J8" i="4"/>
  <c r="K8" i="4"/>
  <c r="B9" i="4"/>
  <c r="D9" i="4"/>
  <c r="F9" i="4"/>
  <c r="G9" i="4"/>
  <c r="I9" i="4"/>
  <c r="J9" i="4"/>
  <c r="K9" i="4"/>
  <c r="G2" i="2"/>
  <c r="F2" i="2"/>
  <c r="G10" i="2"/>
  <c r="D10" i="2"/>
  <c r="B10" i="2"/>
  <c r="I10" i="2"/>
  <c r="J10" i="2"/>
  <c r="K10" i="2"/>
  <c r="F10" i="2"/>
  <c r="J2" i="2"/>
  <c r="I3" i="2"/>
  <c r="I4" i="2"/>
  <c r="I5" i="2"/>
  <c r="I6" i="2"/>
  <c r="I7" i="2"/>
  <c r="I8" i="2"/>
  <c r="I9" i="2"/>
  <c r="I2" i="2"/>
  <c r="B2" i="2"/>
  <c r="B9" i="2"/>
  <c r="B8" i="2"/>
  <c r="B7" i="2"/>
  <c r="B6" i="2"/>
  <c r="B5" i="2"/>
  <c r="B4" i="2"/>
  <c r="B3" i="2"/>
  <c r="F3" i="2"/>
  <c r="F4" i="2"/>
  <c r="F5" i="2"/>
  <c r="F6" i="2"/>
  <c r="F7" i="2"/>
  <c r="F8" i="2"/>
  <c r="F9" i="2"/>
  <c r="G9" i="2"/>
  <c r="B19" i="2"/>
  <c r="F19" i="3"/>
  <c r="F11" i="3"/>
  <c r="F12" i="3"/>
  <c r="F13" i="3"/>
  <c r="F14" i="3"/>
  <c r="F15" i="3"/>
  <c r="C14" i="3"/>
  <c r="C12" i="3"/>
  <c r="D12" i="3"/>
  <c r="D19" i="3"/>
  <c r="D15" i="3"/>
  <c r="D13" i="3"/>
  <c r="D14" i="3"/>
  <c r="D11" i="3"/>
  <c r="E20" i="2"/>
  <c r="K3" i="2"/>
  <c r="K4" i="2"/>
  <c r="K5" i="2"/>
  <c r="K6" i="2"/>
  <c r="K7" i="2"/>
  <c r="K8" i="2"/>
  <c r="K9" i="2"/>
  <c r="K2" i="2"/>
  <c r="G3" i="2"/>
  <c r="J3" i="2"/>
  <c r="G4" i="2"/>
  <c r="J4" i="2"/>
  <c r="G5" i="2"/>
  <c r="J5" i="2"/>
  <c r="G6" i="2"/>
  <c r="J6" i="2"/>
  <c r="G7" i="2"/>
  <c r="J7" i="2"/>
  <c r="G8" i="2"/>
  <c r="J8" i="2"/>
  <c r="J9" i="2"/>
  <c r="D3" i="2"/>
  <c r="D4" i="2"/>
  <c r="D5" i="2"/>
  <c r="D6" i="2"/>
  <c r="D7" i="2"/>
  <c r="D8" i="2"/>
  <c r="D9" i="2"/>
  <c r="D2" i="2"/>
</calcChain>
</file>

<file path=xl/sharedStrings.xml><?xml version="1.0" encoding="utf-8"?>
<sst xmlns="http://schemas.openxmlformats.org/spreadsheetml/2006/main" count="62" uniqueCount="44">
  <si>
    <t>Cuvet Number</t>
  </si>
  <si>
    <t>Total Volume (μL)</t>
  </si>
  <si>
    <t>Phosphate Buffer Volume (μL)</t>
  </si>
  <si>
    <t>Lysozyme Stock Volume (μL)</t>
  </si>
  <si>
    <t>Bacterial Cell Stock Volume (μL)</t>
  </si>
  <si>
    <t>Slope</t>
  </si>
  <si>
    <t>Vo</t>
  </si>
  <si>
    <t>1/[S]</t>
  </si>
  <si>
    <t>1/Vo</t>
  </si>
  <si>
    <t>Bacterial Cell Stock Concentration (mg/mL)</t>
  </si>
  <si>
    <t>Bacteria concentration [S]</t>
  </si>
  <si>
    <t>Lysozyme Concentration [E]</t>
  </si>
  <si>
    <t>Lysozyme 10X Diluted Stock Concentration (mg/mL))</t>
  </si>
  <si>
    <t>Flow Through</t>
  </si>
  <si>
    <t>Wash 1</t>
  </si>
  <si>
    <t>Wash 2</t>
  </si>
  <si>
    <t>Wash 3</t>
  </si>
  <si>
    <t>Elute 1</t>
  </si>
  <si>
    <t>Elute 2</t>
  </si>
  <si>
    <t>Elute 3</t>
  </si>
  <si>
    <t>Elute 4</t>
  </si>
  <si>
    <t>260/280</t>
  </si>
  <si>
    <t>mg/ml</t>
  </si>
  <si>
    <t>Cuvette 2</t>
  </si>
  <si>
    <t>Cuvette 3</t>
  </si>
  <si>
    <t>Cuvette 4</t>
  </si>
  <si>
    <t>Cuvette 5</t>
  </si>
  <si>
    <t>Volume of Bradford Reagent  (μL)</t>
  </si>
  <si>
    <t>Total Volume μ(L)</t>
  </si>
  <si>
    <t>Volume of Protein - BSA (μL)</t>
  </si>
  <si>
    <t xml:space="preserve"> Volume of buffer (μL)</t>
  </si>
  <si>
    <t>Volume of Protein - Lysozyme (μL)</t>
  </si>
  <si>
    <t>Unknown</t>
  </si>
  <si>
    <t>Protein Concentration (mg/mL)</t>
  </si>
  <si>
    <t>BSA Concentration (mg/ml)</t>
  </si>
  <si>
    <t>Absorption (A.U.)</t>
  </si>
  <si>
    <t>NaN</t>
  </si>
  <si>
    <t>A280 (mg/mL)</t>
  </si>
  <si>
    <t>Blank - Cuvette 1</t>
  </si>
  <si>
    <t>Lysozyme Concentration (mg/mL))</t>
  </si>
  <si>
    <t>Lineaweaver-Burke Slope</t>
  </si>
  <si>
    <t>Lineaweaver-Burke Intercept</t>
  </si>
  <si>
    <t>Km</t>
  </si>
  <si>
    <t>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</si>
</sst>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/>
    </xf>
    <xf numFmtId="11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Beer's</a:t>
            </a:r>
            <a:r>
              <a:rPr lang="en-US" baseline="0"/>
              <a:t> Law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'Bradford Assay '!$G$10:$G$11</c:f>
              <c:strCache>
                <c:ptCount val="2"/>
                <c:pt idx="0">
                  <c:v>Absorption (A.U.)</c:v>
                </c:pt>
                <c:pt idx="1">
                  <c:v>NaN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2451580425740925E-3"/>
                  <c:y val="0.29492089954850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'Bradford Assay '!$F$12:$F$15</c:f>
              <c:numCache>
                <c:formatCode>0.00000</c:formatCode>
                <c:ptCount val="4"/>
                <c:pt idx="0">
                  <c:v>1.6129032258064516E-2</c:v>
                </c:pt>
                <c:pt idx="1">
                  <c:v>3.2258064516129031E-2</c:v>
                </c:pt>
                <c:pt idx="2">
                  <c:v>4.8387096774193547E-2</c:v>
                </c:pt>
                <c:pt idx="3">
                  <c:v>6.4516129032258063E-2</c:v>
                </c:pt>
              </c:numCache>
            </c:numRef>
          </c:xVal>
          <c:yVal>
            <c:numRef>
              <c:f>'Bradford Assay '!$G$12:$G$15</c:f>
              <c:numCache>
                <c:formatCode>General</c:formatCode>
                <c:ptCount val="4"/>
                <c:pt idx="0">
                  <c:v>0.53400000000000003</c:v>
                </c:pt>
                <c:pt idx="1">
                  <c:v>0.81399999999999995</c:v>
                </c:pt>
                <c:pt idx="2">
                  <c:v>1.1919999999999999</c:v>
                </c:pt>
                <c:pt idx="3">
                  <c:v>1.421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F-EC41-B6D0-291C317A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890367"/>
        <c:axId val="71749568"/>
      </c:scatterChart>
      <c:valAx>
        <c:axId val="204689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9568"/>
        <c:crosses val="autoZero"/>
        <c:crossBetween val="midCat"/>
      </c:valAx>
      <c:valAx>
        <c:axId val="717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9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Lineweaver-Burke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('Run 1'!$J$2:$J$4,'Run 1'!$J$7:$J$9)</c:f>
              <c:numCache>
                <c:formatCode>General</c:formatCode>
                <c:ptCount val="6"/>
                <c:pt idx="0">
                  <c:v>7.8125</c:v>
                </c:pt>
                <c:pt idx="1">
                  <c:v>8.9285714285714288</c:v>
                </c:pt>
                <c:pt idx="2">
                  <c:v>10.416666666666666</c:v>
                </c:pt>
                <c:pt idx="3">
                  <c:v>20.833333333333332</c:v>
                </c:pt>
                <c:pt idx="4">
                  <c:v>31.25</c:v>
                </c:pt>
                <c:pt idx="5">
                  <c:v>62.5</c:v>
                </c:pt>
              </c:numCache>
            </c:numRef>
          </c:xVal>
          <c:yVal>
            <c:numRef>
              <c:f>('Run 1'!$K$2:$K$4,'Run 1'!$K$7:$K$9)</c:f>
              <c:numCache>
                <c:formatCode>General</c:formatCode>
                <c:ptCount val="6"/>
                <c:pt idx="0">
                  <c:v>120.97749818533751</c:v>
                </c:pt>
                <c:pt idx="1">
                  <c:v>208.07324178110693</c:v>
                </c:pt>
                <c:pt idx="2">
                  <c:v>270.85590465872156</c:v>
                </c:pt>
                <c:pt idx="3">
                  <c:v>303.85900941962927</c:v>
                </c:pt>
                <c:pt idx="4">
                  <c:v>465.54934823091241</c:v>
                </c:pt>
                <c:pt idx="5">
                  <c:v>2412.5452352231605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E-904D-9CD5-EA8D8B52F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094783"/>
        <c:axId val="91756672"/>
      </c:scatterChart>
      <c:valAx>
        <c:axId val="193609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1/[S]</a:t>
                </a:r>
                <a:r>
                  <a:rPr lang="en-US" baseline="0"/>
                  <a:t> 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6672"/>
        <c:crosses val="autoZero"/>
        <c:crossBetween val="midCat"/>
      </c:valAx>
      <c:valAx>
        <c:axId val="917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1/Vo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9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Michaelis_Menten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('Run 1'!$G$2:$G$4,'Run 1'!$G$7:$G$9)</c:f>
              <c:numCache>
                <c:formatCode>General</c:formatCode>
                <c:ptCount val="6"/>
                <c:pt idx="0">
                  <c:v>0.128</c:v>
                </c:pt>
                <c:pt idx="1">
                  <c:v>0.112</c:v>
                </c:pt>
                <c:pt idx="2">
                  <c:v>9.6000000000000002E-2</c:v>
                </c:pt>
                <c:pt idx="3">
                  <c:v>4.8000000000000001E-2</c:v>
                </c:pt>
                <c:pt idx="4">
                  <c:v>3.2000000000000001E-2</c:v>
                </c:pt>
                <c:pt idx="5">
                  <c:v>1.6E-2</c:v>
                </c:pt>
              </c:numCache>
            </c:numRef>
          </c:xVal>
          <c:yVal>
            <c:numRef>
              <c:f>('Run 1'!$I$2:$I$4,'Run 1'!$I$7:$I$9)</c:f>
              <c:numCache>
                <c:formatCode>General</c:formatCode>
                <c:ptCount val="6"/>
                <c:pt idx="0">
                  <c:v>8.2660000000000008E-3</c:v>
                </c:pt>
                <c:pt idx="1">
                  <c:v>4.8060000000000004E-3</c:v>
                </c:pt>
                <c:pt idx="2">
                  <c:v>3.692E-3</c:v>
                </c:pt>
                <c:pt idx="3">
                  <c:v>3.2910000000000001E-3</c:v>
                </c:pt>
                <c:pt idx="4">
                  <c:v>2.1480000000000002E-3</c:v>
                </c:pt>
                <c:pt idx="5">
                  <c:v>4.1449999999999999E-4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C-B04E-A0D2-0787B305A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05600"/>
        <c:axId val="2034287935"/>
      </c:scatterChart>
      <c:valAx>
        <c:axId val="7150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[S)</a:t>
                </a:r>
                <a:r>
                  <a:rPr lang="en-US" baseline="0"/>
                  <a:t> Concentration of Bacteria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87935"/>
        <c:crosses val="autoZero"/>
        <c:crossBetween val="midCat"/>
      </c:valAx>
      <c:valAx>
        <c:axId val="20342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[Vo] Initial 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Lineweaver-Burke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5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8751257443727268E-2"/>
                  <c:y val="-9.08452877486059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7489542369722"/>
                  <c:y val="-1.67221981873402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'Final Kinetics'!$J$2:$J$9</c:f>
              <c:numCache>
                <c:formatCode>General</c:formatCode>
                <c:ptCount val="8"/>
                <c:pt idx="0">
                  <c:v>7.8125</c:v>
                </c:pt>
                <c:pt idx="1">
                  <c:v>8.9285714285714288</c:v>
                </c:pt>
                <c:pt idx="2">
                  <c:v>10.416666666666666</c:v>
                </c:pt>
                <c:pt idx="3">
                  <c:v>12.5</c:v>
                </c:pt>
                <c:pt idx="4">
                  <c:v>15.625</c:v>
                </c:pt>
                <c:pt idx="5">
                  <c:v>20.833333333333332</c:v>
                </c:pt>
                <c:pt idx="6">
                  <c:v>31.25</c:v>
                </c:pt>
                <c:pt idx="7">
                  <c:v>62.5</c:v>
                </c:pt>
              </c:numCache>
            </c:numRef>
          </c:xVal>
          <c:yVal>
            <c:numRef>
              <c:f>'Final Kinetics'!$K$2:$K$9</c:f>
              <c:numCache>
                <c:formatCode>General</c:formatCode>
                <c:ptCount val="8"/>
                <c:pt idx="0">
                  <c:v>120.97749818533751</c:v>
                </c:pt>
                <c:pt idx="1">
                  <c:v>208.07324178110693</c:v>
                </c:pt>
                <c:pt idx="2">
                  <c:v>270.85590465872156</c:v>
                </c:pt>
                <c:pt idx="3">
                  <c:v>229.09507445589921</c:v>
                </c:pt>
                <c:pt idx="4">
                  <c:v>416.66666666666669</c:v>
                </c:pt>
                <c:pt idx="5">
                  <c:v>303.85900941962927</c:v>
                </c:pt>
                <c:pt idx="6">
                  <c:v>465.54934823091241</c:v>
                </c:pt>
                <c:pt idx="7">
                  <c:v>2412.5452352231605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63-3149-9529-C04EE587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094783"/>
        <c:axId val="91756672"/>
      </c:scatterChart>
      <c:valAx>
        <c:axId val="193609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1/[S] (1/mg)</a:t>
                </a:r>
                <a:r>
                  <a:rPr lang="en-US" baseline="0"/>
                  <a:t> 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6672"/>
        <c:crosses val="autoZero"/>
        <c:crossBetween val="midCat"/>
      </c:valAx>
      <c:valAx>
        <c:axId val="917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1/Vo  (1/mg/sec)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9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Michaelis</a:t>
            </a:r>
            <a:r>
              <a:rPr lang="en-US" baseline="0"/>
              <a:t> </a:t>
            </a:r>
            <a:r>
              <a:rPr lang="en-US"/>
              <a:t>Menten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'Final Kinetics'!$G$2:$G$9</c:f>
              <c:numCache>
                <c:formatCode>General</c:formatCode>
                <c:ptCount val="8"/>
                <c:pt idx="0">
                  <c:v>0.128</c:v>
                </c:pt>
                <c:pt idx="1">
                  <c:v>0.112</c:v>
                </c:pt>
                <c:pt idx="2">
                  <c:v>9.6000000000000002E-2</c:v>
                </c:pt>
                <c:pt idx="3">
                  <c:v>0.08</c:v>
                </c:pt>
                <c:pt idx="4">
                  <c:v>6.4000000000000001E-2</c:v>
                </c:pt>
                <c:pt idx="5">
                  <c:v>4.8000000000000001E-2</c:v>
                </c:pt>
                <c:pt idx="6">
                  <c:v>3.2000000000000001E-2</c:v>
                </c:pt>
                <c:pt idx="7">
                  <c:v>1.6E-2</c:v>
                </c:pt>
              </c:numCache>
            </c:numRef>
          </c:xVal>
          <c:yVal>
            <c:numRef>
              <c:f>'Final Kinetics'!$I$2:$I$9</c:f>
              <c:numCache>
                <c:formatCode>General</c:formatCode>
                <c:ptCount val="8"/>
                <c:pt idx="0">
                  <c:v>8.2660000000000008E-3</c:v>
                </c:pt>
                <c:pt idx="1">
                  <c:v>4.8060000000000004E-3</c:v>
                </c:pt>
                <c:pt idx="2">
                  <c:v>3.692E-3</c:v>
                </c:pt>
                <c:pt idx="3">
                  <c:v>4.365E-3</c:v>
                </c:pt>
                <c:pt idx="4">
                  <c:v>2.3999999999999998E-3</c:v>
                </c:pt>
                <c:pt idx="5">
                  <c:v>3.2910000000000001E-3</c:v>
                </c:pt>
                <c:pt idx="6">
                  <c:v>2.1480000000000002E-3</c:v>
                </c:pt>
                <c:pt idx="7">
                  <c:v>4.1449999999999999E-4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4-9C4D-9274-3057B3CF5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05600"/>
        <c:axId val="2034287935"/>
      </c:scatterChart>
      <c:valAx>
        <c:axId val="7150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[S]</a:t>
                </a:r>
                <a:r>
                  <a:rPr lang="en-US" baseline="0"/>
                  <a:t> Concentration of Bacteria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87935"/>
        <c:crosses val="autoZero"/>
        <c:crossBetween val="midCat"/>
      </c:valAx>
      <c:valAx>
        <c:axId val="20342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 (mg/ml)/sec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585478</xdr:colOff>
      <xdr:row>8</xdr:row>
      <xdr:rowOff>197928</xdr:rowOff>
    </xdr:from>
    <xdr:to>
      <xdr:col>13</xdr:col>
      <xdr:colOff>221252</xdr:colOff>
      <xdr:row>22</xdr:row>
      <xdr:rowOff>145530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54AFE3A0-94F6-5784-DF90-D1D33B0B2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241300</xdr:colOff>
      <xdr:row>0</xdr:row>
      <xdr:rowOff>304800</xdr:rowOff>
    </xdr:from>
    <xdr:to>
      <xdr:col>18</xdr:col>
      <xdr:colOff>577850</xdr:colOff>
      <xdr:row>12</xdr:row>
      <xdr:rowOff>165100</xdr:rowOff>
    </xdr:to>
    <xdr:graphicFrame macro="">
      <xdr:nvGraphicFramePr>
        <xdr:cNvPr id="153" name="Chart 1">
          <a:extLst>
            <a:ext uri="{FF2B5EF4-FFF2-40B4-BE49-F238E27FC236}">
              <a16:creationId xmlns:a16="http://schemas.microsoft.com/office/drawing/2014/main" id="{70A255AB-3CC1-EAFD-6D3F-EA507E430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215900</xdr:colOff>
      <xdr:row>13</xdr:row>
      <xdr:rowOff>152400</xdr:rowOff>
    </xdr:from>
    <xdr:to>
      <xdr:col>18</xdr:col>
      <xdr:colOff>723900</xdr:colOff>
      <xdr:row>22</xdr:row>
      <xdr:rowOff>177800</xdr:rowOff>
    </xdr:to>
    <xdr:graphicFrame macro="">
      <xdr:nvGraphicFramePr>
        <xdr:cNvPr id="152" name="Chart 3">
          <a:extLst>
            <a:ext uri="{FF2B5EF4-FFF2-40B4-BE49-F238E27FC236}">
              <a16:creationId xmlns:a16="http://schemas.microsoft.com/office/drawing/2014/main" id="{BEC248ED-FA19-E62F-659A-74F6D71F9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241300</xdr:colOff>
      <xdr:row>0</xdr:row>
      <xdr:rowOff>304800</xdr:rowOff>
    </xdr:from>
    <xdr:to>
      <xdr:col>18</xdr:col>
      <xdr:colOff>577850</xdr:colOff>
      <xdr:row>12</xdr:row>
      <xdr:rowOff>165100</xdr:rowOff>
    </xdr:to>
    <xdr:graphicFrame macro="">
      <xdr:nvGraphicFramePr>
        <xdr:cNvPr id="49" name="Chart 1">
          <a:extLst>
            <a:ext uri="{FF2B5EF4-FFF2-40B4-BE49-F238E27FC236}">
              <a16:creationId xmlns:a16="http://schemas.microsoft.com/office/drawing/2014/main" id="{5227295A-EC7D-7C40-85CE-915977E57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215900</xdr:colOff>
      <xdr:row>13</xdr:row>
      <xdr:rowOff>152400</xdr:rowOff>
    </xdr:from>
    <xdr:to>
      <xdr:col>18</xdr:col>
      <xdr:colOff>723900</xdr:colOff>
      <xdr:row>22</xdr:row>
      <xdr:rowOff>177800</xdr:rowOff>
    </xdr:to>
    <xdr:graphicFrame macro="">
      <xdr:nvGraphicFramePr>
        <xdr:cNvPr id="55" name="Chart 2">
          <a:extLst>
            <a:ext uri="{FF2B5EF4-FFF2-40B4-BE49-F238E27FC236}">
              <a16:creationId xmlns:a16="http://schemas.microsoft.com/office/drawing/2014/main" id="{2C853DDB-10BA-6548-958C-8AFD96DD8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7B6-6453-EB4E-B20E-98FEE32E78B4}">
  <dimension ref="A1:I28"/>
  <sheetViews>
    <sheetView topLeftCell="A4" zoomScale="67" workbookViewId="0">
      <selection activeCell="F19" sqref="F19"/>
    </sheetView>
  </sheetViews>
  <sheetFormatPr defaultColWidth="11" defaultRowHeight="16" x14ac:dyDescent="0.4"/>
  <cols>
    <col min="1" max="1" width="14.83203125" customWidth="1"/>
    <col min="2" max="2" width="19" customWidth="1"/>
    <col min="3" max="3" width="16.6640625" customWidth="1"/>
    <col min="4" max="4" width="12.33203125" customWidth="1"/>
    <col min="5" max="5" width="11.33203125" customWidth="1"/>
    <col min="6" max="6" width="21.83203125" customWidth="1"/>
    <col min="7" max="7" width="15.83203125" customWidth="1"/>
  </cols>
  <sheetData>
    <row r="1" spans="1:9" x14ac:dyDescent="0.4">
      <c r="A1" s="4"/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 spans="1:9" x14ac:dyDescent="0.4">
      <c r="A2" s="4" t="s">
        <v>21</v>
      </c>
      <c r="B2" s="1"/>
      <c r="C2" s="1"/>
      <c r="D2" s="1"/>
      <c r="E2" s="1"/>
      <c r="F2" s="1"/>
      <c r="G2" s="1"/>
      <c r="H2" s="1"/>
      <c r="I2" s="1"/>
    </row>
    <row r="3" spans="1:9" x14ac:dyDescent="0.4">
      <c r="A3" s="4" t="s">
        <v>22</v>
      </c>
      <c r="B3" s="1"/>
      <c r="C3" s="1"/>
      <c r="D3" s="1"/>
      <c r="E3" s="1"/>
      <c r="F3" s="1"/>
      <c r="G3" s="1"/>
      <c r="H3" s="1"/>
      <c r="I3" s="1"/>
    </row>
    <row r="10" spans="1:9" ht="32" x14ac:dyDescent="0.4">
      <c r="A10" s="6"/>
      <c r="B10" s="6" t="s">
        <v>27</v>
      </c>
      <c r="C10" s="6" t="s">
        <v>29</v>
      </c>
      <c r="D10" s="6" t="s">
        <v>30</v>
      </c>
      <c r="E10" s="6" t="s">
        <v>28</v>
      </c>
      <c r="F10" s="6" t="s">
        <v>33</v>
      </c>
      <c r="G10" s="6" t="s">
        <v>35</v>
      </c>
    </row>
    <row r="11" spans="1:9" ht="32" customHeight="1" x14ac:dyDescent="0.4">
      <c r="A11" s="5" t="s">
        <v>38</v>
      </c>
      <c r="B11" s="7">
        <v>1500</v>
      </c>
      <c r="C11" s="7">
        <v>0</v>
      </c>
      <c r="D11" s="7">
        <f>E11-(C11+B11)</f>
        <v>50</v>
      </c>
      <c r="E11" s="7">
        <v>1550</v>
      </c>
      <c r="F11" s="8">
        <f>($B$23*(C11/1000))/(E11/1000)</f>
        <v>0</v>
      </c>
      <c r="G11" s="7" t="s">
        <v>36</v>
      </c>
    </row>
    <row r="12" spans="1:9" x14ac:dyDescent="0.4">
      <c r="A12" s="3" t="s">
        <v>23</v>
      </c>
      <c r="B12" s="7">
        <v>1500</v>
      </c>
      <c r="C12" s="7">
        <f>C13-(C14-C13)</f>
        <v>12.5</v>
      </c>
      <c r="D12" s="7">
        <f t="shared" ref="D12:D15" si="0">E12-(C12+B12)</f>
        <v>37.5</v>
      </c>
      <c r="E12" s="7">
        <v>1550</v>
      </c>
      <c r="F12" s="8">
        <f t="shared" ref="F12:F15" si="1">($B$23*(C12/1000))/(E12/1000)</f>
        <v>1.6129032258064516E-2</v>
      </c>
      <c r="G12" s="7">
        <v>0.53400000000000003</v>
      </c>
    </row>
    <row r="13" spans="1:9" x14ac:dyDescent="0.4">
      <c r="A13" s="3" t="s">
        <v>24</v>
      </c>
      <c r="B13" s="7">
        <v>1500</v>
      </c>
      <c r="C13" s="7">
        <v>25</v>
      </c>
      <c r="D13" s="7">
        <f t="shared" si="0"/>
        <v>25</v>
      </c>
      <c r="E13" s="7">
        <v>1550</v>
      </c>
      <c r="F13" s="8">
        <f t="shared" si="1"/>
        <v>3.2258064516129031E-2</v>
      </c>
      <c r="G13" s="7">
        <v>0.81399999999999995</v>
      </c>
    </row>
    <row r="14" spans="1:9" x14ac:dyDescent="0.4">
      <c r="A14" s="3" t="s">
        <v>25</v>
      </c>
      <c r="B14" s="7">
        <v>1500</v>
      </c>
      <c r="C14" s="7">
        <f>(C15+C13)/2</f>
        <v>37.5</v>
      </c>
      <c r="D14" s="7">
        <f t="shared" si="0"/>
        <v>12.5</v>
      </c>
      <c r="E14" s="7">
        <v>1550</v>
      </c>
      <c r="F14" s="8">
        <f t="shared" si="1"/>
        <v>4.8387096774193547E-2</v>
      </c>
      <c r="G14" s="7">
        <v>1.1919999999999999</v>
      </c>
    </row>
    <row r="15" spans="1:9" x14ac:dyDescent="0.4">
      <c r="A15" s="3" t="s">
        <v>26</v>
      </c>
      <c r="B15" s="7">
        <v>1500</v>
      </c>
      <c r="C15" s="7">
        <v>50</v>
      </c>
      <c r="D15" s="7">
        <f t="shared" si="0"/>
        <v>0</v>
      </c>
      <c r="E15" s="7">
        <v>1550</v>
      </c>
      <c r="F15" s="8">
        <f t="shared" si="1"/>
        <v>6.4516129032258063E-2</v>
      </c>
      <c r="G15" s="7">
        <v>1.421</v>
      </c>
    </row>
    <row r="16" spans="1:9" x14ac:dyDescent="0.4">
      <c r="A16" s="9"/>
      <c r="B16" s="9"/>
      <c r="C16" s="9"/>
      <c r="D16" s="9"/>
      <c r="E16" s="9"/>
      <c r="F16" s="9"/>
      <c r="G16" s="9"/>
    </row>
    <row r="17" spans="1:7" x14ac:dyDescent="0.4">
      <c r="A17" s="9"/>
      <c r="B17" s="9"/>
      <c r="C17" s="9"/>
      <c r="D17" s="9"/>
      <c r="E17" s="9"/>
      <c r="F17" s="9"/>
      <c r="G17" s="9"/>
    </row>
    <row r="18" spans="1:7" ht="32" x14ac:dyDescent="0.4">
      <c r="A18" s="6"/>
      <c r="B18" s="6" t="s">
        <v>27</v>
      </c>
      <c r="C18" s="6" t="s">
        <v>31</v>
      </c>
      <c r="D18" s="6" t="s">
        <v>30</v>
      </c>
      <c r="E18" s="6" t="s">
        <v>28</v>
      </c>
      <c r="F18" s="6" t="s">
        <v>33</v>
      </c>
      <c r="G18" s="6" t="s">
        <v>35</v>
      </c>
    </row>
    <row r="19" spans="1:7" x14ac:dyDescent="0.4">
      <c r="A19" s="5" t="s">
        <v>32</v>
      </c>
      <c r="B19" s="7">
        <v>1500</v>
      </c>
      <c r="C19" s="7">
        <v>50</v>
      </c>
      <c r="D19" s="7">
        <f>E19-(C19+B19)</f>
        <v>0</v>
      </c>
      <c r="E19" s="7">
        <v>1550</v>
      </c>
      <c r="F19" s="11">
        <f>(G19-0.2305)/18.842</f>
        <v>-1.671797049145526E-3</v>
      </c>
      <c r="G19" s="7">
        <v>0.19900000000000001</v>
      </c>
    </row>
    <row r="20" spans="1:7" x14ac:dyDescent="0.4">
      <c r="A20" s="9"/>
      <c r="B20" s="9"/>
      <c r="C20" s="9"/>
      <c r="D20" s="9"/>
      <c r="E20" s="9"/>
      <c r="F20" s="9"/>
      <c r="G20" s="9"/>
    </row>
    <row r="21" spans="1:7" x14ac:dyDescent="0.4">
      <c r="A21" s="9"/>
      <c r="B21" s="9"/>
      <c r="C21" s="9"/>
      <c r="D21" s="9"/>
      <c r="E21" s="9"/>
      <c r="F21" s="9"/>
      <c r="G21" s="9"/>
    </row>
    <row r="22" spans="1:7" x14ac:dyDescent="0.4">
      <c r="A22" s="9"/>
      <c r="B22" s="9"/>
      <c r="C22" s="9"/>
      <c r="D22" s="9"/>
      <c r="E22" s="9"/>
      <c r="F22" s="9"/>
      <c r="G22" s="9"/>
    </row>
    <row r="23" spans="1:7" ht="48" x14ac:dyDescent="0.4">
      <c r="A23" s="6" t="s">
        <v>34</v>
      </c>
      <c r="B23" s="6">
        <v>2</v>
      </c>
      <c r="C23" s="9"/>
      <c r="D23" s="9"/>
      <c r="E23" s="9"/>
      <c r="F23" s="9"/>
      <c r="G23" s="9"/>
    </row>
    <row r="24" spans="1:7" x14ac:dyDescent="0.4">
      <c r="A24" s="9"/>
      <c r="B24" s="9"/>
      <c r="C24" s="9"/>
      <c r="D24" s="9"/>
      <c r="E24" s="9"/>
      <c r="F24" s="9"/>
      <c r="G24" s="9"/>
    </row>
    <row r="25" spans="1:7" x14ac:dyDescent="0.4">
      <c r="A25" s="9"/>
      <c r="B25" s="9"/>
      <c r="C25" s="9"/>
      <c r="D25" s="9"/>
      <c r="E25" s="9"/>
      <c r="F25" s="9"/>
      <c r="G25" s="9"/>
    </row>
    <row r="26" spans="1:7" x14ac:dyDescent="0.4">
      <c r="A26" s="9"/>
      <c r="B26" s="9"/>
      <c r="C26" s="9"/>
      <c r="D26" s="9"/>
      <c r="E26" s="9"/>
      <c r="F26" s="9"/>
      <c r="G26" s="9"/>
    </row>
    <row r="27" spans="1:7" x14ac:dyDescent="0.4">
      <c r="A27" s="6" t="s">
        <v>37</v>
      </c>
      <c r="B27" s="6">
        <v>1.214</v>
      </c>
      <c r="C27" s="9"/>
      <c r="D27" s="9"/>
      <c r="E27" s="9"/>
      <c r="F27" s="9"/>
      <c r="G27" s="9"/>
    </row>
    <row r="28" spans="1:7" x14ac:dyDescent="0.4">
      <c r="A28" s="10"/>
      <c r="B28" s="10"/>
      <c r="C28" s="10"/>
      <c r="D28" s="10"/>
      <c r="E28" s="10"/>
      <c r="F28" s="10"/>
      <c r="G2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F643-0814-4C4A-9CD1-7AE43DB14E31}">
  <dimension ref="A1:K20"/>
  <sheetViews>
    <sheetView zoomScale="72" workbookViewId="0">
      <selection activeCell="A9" sqref="A9"/>
    </sheetView>
  </sheetViews>
  <sheetFormatPr defaultColWidth="11" defaultRowHeight="16" x14ac:dyDescent="0.4"/>
  <cols>
    <col min="1" max="1" width="20.6640625" customWidth="1"/>
    <col min="2" max="2" width="20" customWidth="1"/>
    <col min="3" max="8" width="15.5" customWidth="1"/>
  </cols>
  <sheetData>
    <row r="1" spans="1:11" ht="32" x14ac:dyDescent="0.4">
      <c r="A1" s="2" t="s">
        <v>0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11</v>
      </c>
      <c r="G1" s="2" t="s">
        <v>10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4">
      <c r="A2" s="1">
        <v>1</v>
      </c>
      <c r="B2" s="14">
        <f>(0.2*800)/$B$19</f>
        <v>280.15564202334627</v>
      </c>
      <c r="C2" s="1">
        <v>50</v>
      </c>
      <c r="D2" s="14">
        <f>E2-(B2+C2)</f>
        <v>919.84435797665378</v>
      </c>
      <c r="E2" s="1">
        <v>1250</v>
      </c>
      <c r="F2" s="1">
        <f t="shared" ref="F2:F10" si="0">($B$20*C2)/E2</f>
        <v>4.496E-2</v>
      </c>
      <c r="G2" s="1">
        <f>($B$19*B2)/E2</f>
        <v>0.128</v>
      </c>
      <c r="H2" s="1">
        <v>-8.2660000000000008E-3</v>
      </c>
      <c r="I2" s="1">
        <f t="shared" ref="I2:I10" si="1">-H2</f>
        <v>8.2660000000000008E-3</v>
      </c>
      <c r="J2" s="1">
        <f>1/G2</f>
        <v>7.8125</v>
      </c>
      <c r="K2" s="1">
        <f>1/I2</f>
        <v>120.97749818533751</v>
      </c>
    </row>
    <row r="3" spans="1:11" x14ac:dyDescent="0.4">
      <c r="A3" s="1">
        <v>2</v>
      </c>
      <c r="B3" s="14">
        <f>(0.2*700)/$B$19</f>
        <v>245.136186770428</v>
      </c>
      <c r="C3" s="1">
        <v>50</v>
      </c>
      <c r="D3" s="14">
        <f t="shared" ref="D3:D9" si="2">E3-(B3+C3)</f>
        <v>954.86381322957197</v>
      </c>
      <c r="E3" s="1">
        <v>1250</v>
      </c>
      <c r="F3" s="1">
        <f t="shared" si="0"/>
        <v>4.496E-2</v>
      </c>
      <c r="G3" s="1">
        <f t="shared" ref="G3:G8" si="3">($B$19*B3)/E3</f>
        <v>0.112</v>
      </c>
      <c r="H3" s="1">
        <v>-4.8060000000000004E-3</v>
      </c>
      <c r="I3" s="1">
        <f t="shared" si="1"/>
        <v>4.8060000000000004E-3</v>
      </c>
      <c r="J3" s="1">
        <f t="shared" ref="J3:J9" si="4">1/G3</f>
        <v>8.9285714285714288</v>
      </c>
      <c r="K3" s="1">
        <f t="shared" ref="K3:K9" si="5">1/I3</f>
        <v>208.07324178110693</v>
      </c>
    </row>
    <row r="4" spans="1:11" x14ac:dyDescent="0.4">
      <c r="A4" s="1">
        <v>3</v>
      </c>
      <c r="B4" s="14">
        <f>(0.2*600)/$B$19</f>
        <v>210.11673151750972</v>
      </c>
      <c r="C4" s="1">
        <v>50</v>
      </c>
      <c r="D4" s="14">
        <f t="shared" si="2"/>
        <v>989.88326848249028</v>
      </c>
      <c r="E4" s="1">
        <v>1250</v>
      </c>
      <c r="F4" s="1">
        <f t="shared" si="0"/>
        <v>4.496E-2</v>
      </c>
      <c r="G4" s="1">
        <f t="shared" si="3"/>
        <v>9.6000000000000002E-2</v>
      </c>
      <c r="H4" s="1">
        <v>-3.692E-3</v>
      </c>
      <c r="I4" s="1">
        <f t="shared" si="1"/>
        <v>3.692E-3</v>
      </c>
      <c r="J4" s="1">
        <f t="shared" si="4"/>
        <v>10.416666666666666</v>
      </c>
      <c r="K4" s="1">
        <f t="shared" si="5"/>
        <v>270.85590465872156</v>
      </c>
    </row>
    <row r="5" spans="1:11" x14ac:dyDescent="0.4">
      <c r="A5" s="15">
        <v>4</v>
      </c>
      <c r="B5" s="16">
        <f>(0.2*500)/$B$19</f>
        <v>175.09727626459144</v>
      </c>
      <c r="C5" s="15">
        <v>50</v>
      </c>
      <c r="D5" s="16">
        <f t="shared" si="2"/>
        <v>1024.9027237354085</v>
      </c>
      <c r="E5" s="15">
        <v>1250</v>
      </c>
      <c r="F5" s="15">
        <f t="shared" si="0"/>
        <v>4.496E-2</v>
      </c>
      <c r="G5" s="15">
        <f t="shared" si="3"/>
        <v>0.08</v>
      </c>
      <c r="H5" s="1">
        <v>-4.365E-3</v>
      </c>
      <c r="I5" s="15">
        <f t="shared" si="1"/>
        <v>4.365E-3</v>
      </c>
      <c r="J5" s="15">
        <f t="shared" si="4"/>
        <v>12.5</v>
      </c>
      <c r="K5" s="15">
        <f t="shared" si="5"/>
        <v>229.09507445589921</v>
      </c>
    </row>
    <row r="6" spans="1:11" x14ac:dyDescent="0.4">
      <c r="A6" s="15">
        <v>5</v>
      </c>
      <c r="B6" s="16">
        <f>(0.2*400)/$B$19</f>
        <v>140.07782101167314</v>
      </c>
      <c r="C6" s="15">
        <v>50</v>
      </c>
      <c r="D6" s="16">
        <f t="shared" si="2"/>
        <v>1059.9221789883268</v>
      </c>
      <c r="E6" s="15">
        <v>1250</v>
      </c>
      <c r="F6" s="15">
        <f t="shared" si="0"/>
        <v>4.496E-2</v>
      </c>
      <c r="G6" s="15">
        <f t="shared" si="3"/>
        <v>6.4000000000000001E-2</v>
      </c>
      <c r="H6" s="1">
        <v>-2.3999999999999998E-3</v>
      </c>
      <c r="I6" s="15">
        <f t="shared" si="1"/>
        <v>2.3999999999999998E-3</v>
      </c>
      <c r="J6" s="15">
        <f t="shared" si="4"/>
        <v>15.625</v>
      </c>
      <c r="K6" s="15">
        <f t="shared" si="5"/>
        <v>416.66666666666669</v>
      </c>
    </row>
    <row r="7" spans="1:11" x14ac:dyDescent="0.4">
      <c r="A7" s="1">
        <v>6</v>
      </c>
      <c r="B7" s="14">
        <f>(0.2*300)/$B$19</f>
        <v>105.05836575875486</v>
      </c>
      <c r="C7" s="1">
        <v>50</v>
      </c>
      <c r="D7" s="14">
        <f t="shared" si="2"/>
        <v>1094.9416342412451</v>
      </c>
      <c r="E7" s="1">
        <v>1250</v>
      </c>
      <c r="F7" s="1">
        <f t="shared" si="0"/>
        <v>4.496E-2</v>
      </c>
      <c r="G7" s="1">
        <f t="shared" si="3"/>
        <v>4.8000000000000001E-2</v>
      </c>
      <c r="H7" s="1">
        <v>-3.2910000000000001E-3</v>
      </c>
      <c r="I7" s="1">
        <f t="shared" si="1"/>
        <v>3.2910000000000001E-3</v>
      </c>
      <c r="J7" s="1">
        <f t="shared" si="4"/>
        <v>20.833333333333332</v>
      </c>
      <c r="K7" s="1">
        <f t="shared" si="5"/>
        <v>303.85900941962927</v>
      </c>
    </row>
    <row r="8" spans="1:11" x14ac:dyDescent="0.4">
      <c r="A8" s="1">
        <v>7</v>
      </c>
      <c r="B8" s="14">
        <f>(0.2*200)/$B$19</f>
        <v>70.038910505836569</v>
      </c>
      <c r="C8" s="1">
        <v>50</v>
      </c>
      <c r="D8" s="14">
        <f t="shared" si="2"/>
        <v>1129.9610894941634</v>
      </c>
      <c r="E8" s="1">
        <v>1250</v>
      </c>
      <c r="F8" s="1">
        <f t="shared" si="0"/>
        <v>4.496E-2</v>
      </c>
      <c r="G8" s="1">
        <f t="shared" si="3"/>
        <v>3.2000000000000001E-2</v>
      </c>
      <c r="H8" s="1">
        <v>-2.1480000000000002E-3</v>
      </c>
      <c r="I8" s="1">
        <f t="shared" si="1"/>
        <v>2.1480000000000002E-3</v>
      </c>
      <c r="J8" s="1">
        <f t="shared" si="4"/>
        <v>31.25</v>
      </c>
      <c r="K8" s="1">
        <f t="shared" si="5"/>
        <v>465.54934823091241</v>
      </c>
    </row>
    <row r="9" spans="1:11" x14ac:dyDescent="0.4">
      <c r="A9" s="1">
        <v>8</v>
      </c>
      <c r="B9" s="14">
        <f>(0.2*100)/$B$19</f>
        <v>35.019455252918284</v>
      </c>
      <c r="C9" s="1">
        <v>50</v>
      </c>
      <c r="D9" s="14">
        <f t="shared" si="2"/>
        <v>1164.9805447470817</v>
      </c>
      <c r="E9" s="1">
        <v>1250</v>
      </c>
      <c r="F9" s="1">
        <f t="shared" si="0"/>
        <v>4.496E-2</v>
      </c>
      <c r="G9" s="1">
        <f>($B$19*B9)/E9</f>
        <v>1.6E-2</v>
      </c>
      <c r="H9" s="1">
        <v>-4.1449999999999999E-4</v>
      </c>
      <c r="I9" s="1">
        <f t="shared" si="1"/>
        <v>4.1449999999999999E-4</v>
      </c>
      <c r="J9" s="1">
        <f t="shared" si="4"/>
        <v>62.5</v>
      </c>
      <c r="K9" s="1">
        <f t="shared" si="5"/>
        <v>2412.5452352231605</v>
      </c>
    </row>
    <row r="10" spans="1:11" x14ac:dyDescent="0.4">
      <c r="A10" s="1">
        <v>9</v>
      </c>
      <c r="B10" s="14">
        <f>(0.2*50)/$B$19</f>
        <v>17.509727626459142</v>
      </c>
      <c r="C10" s="1">
        <v>50</v>
      </c>
      <c r="D10" s="14">
        <f>E10-(B10+C10)</f>
        <v>1182.4902723735408</v>
      </c>
      <c r="E10" s="1">
        <v>1250</v>
      </c>
      <c r="F10" s="1">
        <f t="shared" si="0"/>
        <v>4.496E-2</v>
      </c>
      <c r="G10" s="1">
        <f>($B$19*B10)/E10</f>
        <v>8.0000000000000002E-3</v>
      </c>
      <c r="H10" s="1"/>
      <c r="I10" s="1">
        <f t="shared" si="1"/>
        <v>0</v>
      </c>
      <c r="J10" s="1">
        <f>1/G10</f>
        <v>125</v>
      </c>
      <c r="K10" s="1" t="e">
        <f>1/I10</f>
        <v>#DIV/0!</v>
      </c>
    </row>
    <row r="11" spans="1:11" x14ac:dyDescent="0.4">
      <c r="B11" s="13"/>
    </row>
    <row r="19" spans="1:5" ht="32" x14ac:dyDescent="0.4">
      <c r="A19" s="3" t="s">
        <v>9</v>
      </c>
      <c r="B19" s="12">
        <f>25.7/45</f>
        <v>0.57111111111111112</v>
      </c>
    </row>
    <row r="20" spans="1:5" ht="64" x14ac:dyDescent="0.4">
      <c r="A20" s="3" t="s">
        <v>39</v>
      </c>
      <c r="B20" s="3">
        <v>1.1240000000000001</v>
      </c>
      <c r="D20" s="3" t="s">
        <v>12</v>
      </c>
      <c r="E20" s="3">
        <f>B20/10</f>
        <v>0.11240000000000001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2B12-64C7-9C4A-99B5-937AF01C3E24}">
  <dimension ref="A1:U25"/>
  <sheetViews>
    <sheetView tabSelected="1" topLeftCell="F1" zoomScale="98" workbookViewId="0">
      <selection activeCell="L18" sqref="L18"/>
    </sheetView>
  </sheetViews>
  <sheetFormatPr defaultColWidth="11" defaultRowHeight="16" x14ac:dyDescent="0.4"/>
  <cols>
    <col min="1" max="1" width="20.6640625" customWidth="1"/>
    <col min="2" max="2" width="20" customWidth="1"/>
    <col min="3" max="8" width="15.5" customWidth="1"/>
  </cols>
  <sheetData>
    <row r="1" spans="1:11" ht="32" x14ac:dyDescent="0.4">
      <c r="A1" s="17" t="s">
        <v>0</v>
      </c>
      <c r="B1" s="17" t="s">
        <v>4</v>
      </c>
      <c r="C1" s="17" t="s">
        <v>3</v>
      </c>
      <c r="D1" s="17" t="s">
        <v>2</v>
      </c>
      <c r="E1" s="17" t="s">
        <v>1</v>
      </c>
      <c r="F1" s="17" t="s">
        <v>11</v>
      </c>
      <c r="G1" s="17" t="s">
        <v>10</v>
      </c>
      <c r="H1" s="17" t="s">
        <v>5</v>
      </c>
      <c r="I1" s="17" t="s">
        <v>6</v>
      </c>
      <c r="J1" s="17" t="s">
        <v>7</v>
      </c>
      <c r="K1" s="17" t="s">
        <v>8</v>
      </c>
    </row>
    <row r="2" spans="1:11" x14ac:dyDescent="0.4">
      <c r="A2" s="1">
        <v>1</v>
      </c>
      <c r="B2" s="14">
        <f>(0.2*800)/$B$19</f>
        <v>280.15564202334627</v>
      </c>
      <c r="C2" s="1">
        <v>50</v>
      </c>
      <c r="D2" s="14">
        <f t="shared" ref="D2:D9" si="0">E2-(B2+C2)</f>
        <v>919.84435797665378</v>
      </c>
      <c r="E2" s="1">
        <v>1250</v>
      </c>
      <c r="F2" s="1">
        <f t="shared" ref="F2:F9" si="1">($B$20*C2)/E2</f>
        <v>4.496E-2</v>
      </c>
      <c r="G2" s="1">
        <f t="shared" ref="G2:G9" si="2">($B$19*B2)/E2</f>
        <v>0.128</v>
      </c>
      <c r="H2" s="1">
        <v>-8.2660000000000008E-3</v>
      </c>
      <c r="I2" s="1">
        <f t="shared" ref="I2:I9" si="3">-H2</f>
        <v>8.2660000000000008E-3</v>
      </c>
      <c r="J2" s="1">
        <f t="shared" ref="J2:J9" si="4">1/G2</f>
        <v>7.8125</v>
      </c>
      <c r="K2" s="1">
        <f t="shared" ref="K2:K9" si="5">1/I2</f>
        <v>120.97749818533751</v>
      </c>
    </row>
    <row r="3" spans="1:11" x14ac:dyDescent="0.4">
      <c r="A3" s="1">
        <v>2</v>
      </c>
      <c r="B3" s="14">
        <f>(0.2*700)/$B$19</f>
        <v>245.136186770428</v>
      </c>
      <c r="C3" s="1">
        <v>50</v>
      </c>
      <c r="D3" s="14">
        <f t="shared" si="0"/>
        <v>954.86381322957197</v>
      </c>
      <c r="E3" s="1">
        <v>1250</v>
      </c>
      <c r="F3" s="1">
        <f t="shared" si="1"/>
        <v>4.496E-2</v>
      </c>
      <c r="G3" s="1">
        <f t="shared" si="2"/>
        <v>0.112</v>
      </c>
      <c r="H3" s="1">
        <v>-4.8060000000000004E-3</v>
      </c>
      <c r="I3" s="1">
        <f t="shared" si="3"/>
        <v>4.8060000000000004E-3</v>
      </c>
      <c r="J3" s="1">
        <f t="shared" si="4"/>
        <v>8.9285714285714288</v>
      </c>
      <c r="K3" s="1">
        <f t="shared" si="5"/>
        <v>208.07324178110693</v>
      </c>
    </row>
    <row r="4" spans="1:11" x14ac:dyDescent="0.4">
      <c r="A4" s="1">
        <v>3</v>
      </c>
      <c r="B4" s="14">
        <f>(0.2*600)/$B$19</f>
        <v>210.11673151750972</v>
      </c>
      <c r="C4" s="1">
        <v>50</v>
      </c>
      <c r="D4" s="14">
        <f t="shared" si="0"/>
        <v>989.88326848249028</v>
      </c>
      <c r="E4" s="1">
        <v>1250</v>
      </c>
      <c r="F4" s="1">
        <f t="shared" si="1"/>
        <v>4.496E-2</v>
      </c>
      <c r="G4" s="1">
        <f t="shared" si="2"/>
        <v>9.6000000000000002E-2</v>
      </c>
      <c r="H4" s="1">
        <v>-3.692E-3</v>
      </c>
      <c r="I4" s="1">
        <f t="shared" si="3"/>
        <v>3.692E-3</v>
      </c>
      <c r="J4" s="1">
        <f t="shared" si="4"/>
        <v>10.416666666666666</v>
      </c>
      <c r="K4" s="1">
        <f t="shared" si="5"/>
        <v>270.85590465872156</v>
      </c>
    </row>
    <row r="5" spans="1:11" x14ac:dyDescent="0.4">
      <c r="A5" s="1">
        <v>4</v>
      </c>
      <c r="B5" s="14">
        <f>(0.2*500)/$B$19</f>
        <v>175.09727626459144</v>
      </c>
      <c r="C5" s="1">
        <v>50</v>
      </c>
      <c r="D5" s="14">
        <f t="shared" si="0"/>
        <v>1024.9027237354085</v>
      </c>
      <c r="E5" s="1">
        <v>1250</v>
      </c>
      <c r="F5" s="1">
        <f t="shared" si="1"/>
        <v>4.496E-2</v>
      </c>
      <c r="G5" s="1">
        <f t="shared" si="2"/>
        <v>0.08</v>
      </c>
      <c r="H5" s="1">
        <v>-4.365E-3</v>
      </c>
      <c r="I5" s="1">
        <f t="shared" si="3"/>
        <v>4.365E-3</v>
      </c>
      <c r="J5" s="1">
        <f t="shared" si="4"/>
        <v>12.5</v>
      </c>
      <c r="K5" s="1">
        <f t="shared" si="5"/>
        <v>229.09507445589921</v>
      </c>
    </row>
    <row r="6" spans="1:11" x14ac:dyDescent="0.4">
      <c r="A6" s="1">
        <v>5</v>
      </c>
      <c r="B6" s="14">
        <f>(0.2*400)/$B$19</f>
        <v>140.07782101167314</v>
      </c>
      <c r="C6" s="1">
        <v>50</v>
      </c>
      <c r="D6" s="14">
        <f t="shared" si="0"/>
        <v>1059.9221789883268</v>
      </c>
      <c r="E6" s="1">
        <v>1250</v>
      </c>
      <c r="F6" s="1">
        <f t="shared" si="1"/>
        <v>4.496E-2</v>
      </c>
      <c r="G6" s="1">
        <f t="shared" si="2"/>
        <v>6.4000000000000001E-2</v>
      </c>
      <c r="H6" s="1">
        <v>-2.3999999999999998E-3</v>
      </c>
      <c r="I6" s="1">
        <f t="shared" si="3"/>
        <v>2.3999999999999998E-3</v>
      </c>
      <c r="J6" s="1">
        <f t="shared" si="4"/>
        <v>15.625</v>
      </c>
      <c r="K6" s="1">
        <f t="shared" si="5"/>
        <v>416.66666666666669</v>
      </c>
    </row>
    <row r="7" spans="1:11" x14ac:dyDescent="0.4">
      <c r="A7" s="1">
        <v>6</v>
      </c>
      <c r="B7" s="14">
        <f>(0.2*300)/$B$19</f>
        <v>105.05836575875486</v>
      </c>
      <c r="C7" s="1">
        <v>50</v>
      </c>
      <c r="D7" s="14">
        <f t="shared" si="0"/>
        <v>1094.9416342412451</v>
      </c>
      <c r="E7" s="1">
        <v>1250</v>
      </c>
      <c r="F7" s="1">
        <f t="shared" si="1"/>
        <v>4.496E-2</v>
      </c>
      <c r="G7" s="1">
        <f t="shared" si="2"/>
        <v>4.8000000000000001E-2</v>
      </c>
      <c r="H7" s="1">
        <v>-3.2910000000000001E-3</v>
      </c>
      <c r="I7" s="1">
        <f t="shared" si="3"/>
        <v>3.2910000000000001E-3</v>
      </c>
      <c r="J7" s="1">
        <f t="shared" si="4"/>
        <v>20.833333333333332</v>
      </c>
      <c r="K7" s="1">
        <f t="shared" si="5"/>
        <v>303.85900941962927</v>
      </c>
    </row>
    <row r="8" spans="1:11" x14ac:dyDescent="0.4">
      <c r="A8" s="1">
        <v>7</v>
      </c>
      <c r="B8" s="14">
        <f>(0.2*200)/$B$19</f>
        <v>70.038910505836569</v>
      </c>
      <c r="C8" s="1">
        <v>50</v>
      </c>
      <c r="D8" s="14">
        <f t="shared" si="0"/>
        <v>1129.9610894941634</v>
      </c>
      <c r="E8" s="1">
        <v>1250</v>
      </c>
      <c r="F8" s="1">
        <f t="shared" si="1"/>
        <v>4.496E-2</v>
      </c>
      <c r="G8" s="1">
        <f t="shared" si="2"/>
        <v>3.2000000000000001E-2</v>
      </c>
      <c r="H8" s="1">
        <v>-2.1480000000000002E-3</v>
      </c>
      <c r="I8" s="1">
        <f t="shared" si="3"/>
        <v>2.1480000000000002E-3</v>
      </c>
      <c r="J8" s="1">
        <f t="shared" si="4"/>
        <v>31.25</v>
      </c>
      <c r="K8" s="1">
        <f t="shared" si="5"/>
        <v>465.54934823091241</v>
      </c>
    </row>
    <row r="9" spans="1:11" x14ac:dyDescent="0.4">
      <c r="A9" s="1">
        <v>8</v>
      </c>
      <c r="B9" s="14">
        <f>(0.2*100)/$B$19</f>
        <v>35.019455252918284</v>
      </c>
      <c r="C9" s="1">
        <v>50</v>
      </c>
      <c r="D9" s="14">
        <f t="shared" si="0"/>
        <v>1164.9805447470817</v>
      </c>
      <c r="E9" s="1">
        <v>1250</v>
      </c>
      <c r="F9" s="1">
        <f t="shared" si="1"/>
        <v>4.496E-2</v>
      </c>
      <c r="G9" s="1">
        <f t="shared" si="2"/>
        <v>1.6E-2</v>
      </c>
      <c r="H9" s="1">
        <v>-4.1449999999999999E-4</v>
      </c>
      <c r="I9" s="1">
        <f t="shared" si="3"/>
        <v>4.1449999999999999E-4</v>
      </c>
      <c r="J9" s="1">
        <f t="shared" si="4"/>
        <v>62.5</v>
      </c>
      <c r="K9" s="1">
        <f t="shared" si="5"/>
        <v>2412.5452352231605</v>
      </c>
    </row>
    <row r="19" spans="1:21" ht="32" x14ac:dyDescent="0.4">
      <c r="A19" s="18" t="s">
        <v>9</v>
      </c>
      <c r="B19" s="19">
        <f>25.7/45</f>
        <v>0.57111111111111112</v>
      </c>
      <c r="D19" s="21" t="s">
        <v>40</v>
      </c>
      <c r="E19" s="21">
        <f>SLOPE(K2:K9,J2:J9)</f>
        <v>39.263127945958431</v>
      </c>
    </row>
    <row r="20" spans="1:21" ht="32" x14ac:dyDescent="0.4">
      <c r="A20" s="18" t="s">
        <v>39</v>
      </c>
      <c r="B20" s="18">
        <v>1.1240000000000001</v>
      </c>
      <c r="D20" s="21" t="s">
        <v>41</v>
      </c>
      <c r="E20" s="21">
        <f>INTERCEPT(K2:K9,J2:J9)</f>
        <v>-280.23141469448501</v>
      </c>
      <c r="U20">
        <f>0.12/0.05</f>
        <v>2.4</v>
      </c>
    </row>
    <row r="24" spans="1:21" x14ac:dyDescent="0.4">
      <c r="D24" s="20" t="s">
        <v>42</v>
      </c>
      <c r="E24" s="22">
        <f>-1/(INTERCEPT(J2:J9,K2:K9))</f>
        <v>-0.11723931176272212</v>
      </c>
      <c r="F24">
        <f>INTERCEPT(J2:J9,K2:K9)</f>
        <v>8.529562183236596</v>
      </c>
    </row>
    <row r="25" spans="1:21" x14ac:dyDescent="0.4">
      <c r="D25" s="20" t="s">
        <v>43</v>
      </c>
      <c r="E25" s="23">
        <f>1/E20</f>
        <v>-3.5684792909111349E-3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Bradford Assay </vt:lpstr>
      <vt:lpstr>Run 1</vt:lpstr>
      <vt:lpstr>Final Kinetics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Levenshteyn, Julia R</dc:creator>
  <cp:lastModifiedBy>Berlin, Ilana F</cp:lastModifiedBy>
  <dcterms:created xsi:type="dcterms:W3CDTF">2025-10-20T23:15:57Z</dcterms:created>
  <dcterms:modified xsi:type="dcterms:W3CDTF">2025-12-16T03:30:37Z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2025-10-20T23:16:09Z</vt:lpwstr>
  </property>
  <property fmtid="{D5CDD505-2E9C-101B-9397-08002B2CF9AE}" pid="4" name="MSIP_Label_f2dee603-0001-4639-81f8-0608a53322f1_Method">
    <vt:lpwstr>Privileged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90d7d6a9-00fd-48a4-973c-43672fe927f4</vt:lpwstr>
  </property>
  <property fmtid="{D5CDD505-2E9C-101B-9397-08002B2CF9AE}" pid="8" name="MSIP_Label_f2dee603-0001-4639-81f8-0608a53322f1_ContentBits">
    <vt:lpwstr>0</vt:lpwstr>
  </property>
</Properties>
</file>